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Portfolio &amp; Rebalancing" sheetId="1" state="visible" r:id="rId1"/>
    <sheet name="US-Exposure" sheetId="2" state="visible" r:id="rId2"/>
    <sheet name="Parameter &amp; Regeln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>
    <font>
      <name val="Calibri"/>
      <family val="2"/>
      <color theme="1"/>
      <sz val="11"/>
      <scheme val="minor"/>
    </font>
    <font>
      <name val="Calibri"/>
      <b val="1"/>
      <color rgb="FF1F3864"/>
      <sz val="15"/>
    </font>
    <font>
      <name val="Calibri"/>
      <color rgb="FF666666"/>
      <sz val="9"/>
    </font>
    <font>
      <name val="Calibri"/>
      <b val="1"/>
      <color rgb="FFFFFFFF"/>
      <sz val="9"/>
    </font>
    <font>
      <name val="Calibri"/>
      <color rgb="FF000000"/>
      <sz val="9.5"/>
    </font>
    <font>
      <name val="Calibri"/>
      <b val="1"/>
      <color rgb="FF1F3864"/>
      <sz val="9.5"/>
    </font>
    <font>
      <name val="Calibri"/>
      <color rgb="FF4472C4"/>
      <sz val="9"/>
    </font>
    <font>
      <name val="Calibri"/>
      <b val="1"/>
      <color rgb="FF2E4057"/>
      <sz val="9.5"/>
    </font>
    <font>
      <name val="Calibri"/>
      <b val="1"/>
      <sz val="10"/>
    </font>
    <font>
      <name val="Calibri"/>
      <b val="1"/>
      <color rgb="FFC00000"/>
      <sz val="9.5"/>
    </font>
    <font>
      <name val="Calibri"/>
      <b val="1"/>
      <color rgb="FF1E3A5F"/>
      <sz val="14"/>
    </font>
    <font>
      <name val="Calibri"/>
      <b val="1"/>
      <color rgb="FFFFFFFF"/>
      <sz val="10"/>
    </font>
    <font>
      <name val="Calibri"/>
      <sz val="10"/>
    </font>
    <font>
      <name val="Calibri"/>
      <b val="1"/>
      <sz val="11"/>
    </font>
    <font>
      <name val="Calibri"/>
      <color rgb="FF0000FF"/>
      <sz val="10"/>
    </font>
    <font>
      <name val="Calibri"/>
      <b val="1"/>
      <color rgb="FF1E3A5F"/>
      <sz val="12"/>
    </font>
    <font>
      <name val="Calibri"/>
      <color rgb="FF000000"/>
      <sz val="11"/>
    </font>
    <font>
      <name val="Calibri"/>
      <sz val="11"/>
    </font>
    <font>
      <name val="Calibri"/>
      <b val="1"/>
      <color rgb="FF000000"/>
      <sz val="9.5"/>
    </font>
  </fonts>
  <fills count="14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/>
    </xf>
    <xf numFmtId="2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right" vertical="center"/>
    </xf>
    <xf numFmtId="10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right" vertical="center"/>
    </xf>
    <xf numFmtId="10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center" vertical="center"/>
    </xf>
    <xf numFmtId="2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right" vertical="center"/>
    </xf>
    <xf numFmtId="10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center" vertical="center"/>
    </xf>
    <xf numFmtId="2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right" vertical="center"/>
    </xf>
    <xf numFmtId="10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5" fillId="9" borderId="0" pivotButton="0" quotePrefix="0" xfId="0"/>
    <xf numFmtId="164" fontId="5" fillId="9" borderId="0" applyAlignment="1" pivotButton="0" quotePrefix="0" xfId="0">
      <alignment horizontal="right" vertical="center"/>
    </xf>
    <xf numFmtId="10" fontId="5" fillId="9" borderId="0" applyAlignment="1" pivotButton="0" quotePrefix="0" xfId="0">
      <alignment horizontal="right" vertical="center"/>
    </xf>
    <xf numFmtId="164" fontId="5" fillId="9" borderId="0" applyAlignment="1" pivotButton="0" quotePrefix="0" xfId="0">
      <alignment horizontal="center" vertical="center"/>
    </xf>
    <xf numFmtId="1" fontId="5" fillId="9" borderId="0" applyAlignment="1" pivotButton="0" quotePrefix="0" xfId="0">
      <alignment horizontal="center" vertical="center"/>
    </xf>
    <xf numFmtId="10" fontId="6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right" vertical="center"/>
    </xf>
    <xf numFmtId="0" fontId="7" fillId="10" borderId="0" applyAlignment="1" pivotButton="0" quotePrefix="0" xfId="0">
      <alignment horizontal="left" vertical="center"/>
    </xf>
    <xf numFmtId="164" fontId="4" fillId="1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8" fillId="11" borderId="0" applyAlignment="1" pivotButton="0" quotePrefix="0" xfId="0">
      <alignment horizontal="right" vertical="center"/>
    </xf>
    <xf numFmtId="164" fontId="5" fillId="1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11" fillId="1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right" vertical="center"/>
    </xf>
    <xf numFmtId="2" fontId="12" fillId="0" borderId="0" applyAlignment="1" pivotButton="0" quotePrefix="0" xfId="0">
      <alignment horizontal="right" vertical="center"/>
    </xf>
    <xf numFmtId="0" fontId="8" fillId="0" borderId="0" pivotButton="0" quotePrefix="0" xfId="0"/>
    <xf numFmtId="165" fontId="13" fillId="0" borderId="0" pivotButton="0" quotePrefix="0" xfId="0"/>
    <xf numFmtId="10" fontId="8" fillId="0" borderId="0" pivotButton="0" quotePrefix="0" xfId="0"/>
    <xf numFmtId="9" fontId="14" fillId="0" borderId="0" pivotButton="0" quotePrefix="0" xfId="0"/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0" fontId="12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1" fillId="13" borderId="0" applyAlignment="1" pivotButton="0" quotePrefix="0" xfId="0">
      <alignment horizontal="center" vertical="center"/>
    </xf>
    <xf numFmtId="0" fontId="13" fillId="0" borderId="0" pivotButton="0" quotePrefix="0" xfId="0"/>
    <xf numFmtId="0" fontId="17" fillId="0" borderId="0" applyAlignment="1" pivotButton="0" quotePrefix="0" xfId="0">
      <alignment horizontal="center"/>
    </xf>
    <xf numFmtId="166" fontId="16" fillId="0" borderId="0" pivotButton="0" quotePrefix="0" xfId="0"/>
    <xf numFmtId="0" fontId="4" fillId="0" borderId="0" pivotButton="0" quotePrefix="0" xfId="0"/>
    <xf numFmtId="0" fontId="11" fillId="13" borderId="0" pivotButton="0" quotePrefix="0" xfId="0"/>
    <xf numFmtId="0" fontId="18" fillId="0" borderId="0" pivotButton="0" quotePrefix="0" xfId="0"/>
    <xf numFmtId="0" fontId="4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167" fontId="2" fillId="3" borderId="0" applyAlignment="1" pivotButton="0" quotePrefix="0" xfId="0">
      <alignment horizontal="left" vertical="center"/>
    </xf>
  </cellXfs>
  <cellStyles count="1">
    <cellStyle name="Standard" xfId="0" builtinId="0"/>
  </cellStyles>
  <dxfs count="18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tabSelected="1" workbookViewId="0">
      <selection activeCell="F21" sqref="F21"/>
    </sheetView>
  </sheetViews>
  <sheetFormatPr baseColWidth="10" defaultColWidth="9.140625" defaultRowHeight="15"/>
  <cols>
    <col width="28" customWidth="1" style="70" min="1" max="1"/>
    <col width="8" customWidth="1" style="70" min="2" max="3"/>
    <col width="10" customWidth="1" style="70" min="4" max="4"/>
    <col width="9" customWidth="1" style="70" min="5" max="5"/>
    <col width="13" customWidth="1" style="70" min="6" max="6"/>
    <col width="11" customWidth="1" style="70" min="7" max="7"/>
    <col width="8" customWidth="1" style="70" min="8" max="8"/>
    <col width="13" customWidth="1" style="70" min="9" max="9"/>
    <col width="8" customWidth="1" style="70" min="10" max="10"/>
    <col width="12" customWidth="1" style="70" min="11" max="11"/>
    <col width="16" customWidth="1" style="70" min="12" max="12"/>
    <col width="8" customWidth="1" style="70" min="13" max="13"/>
    <col width="40.42578125" customWidth="1" style="70" min="14" max="14"/>
    <col width="56.140625" customWidth="1" style="70" min="15" max="15"/>
    <col width="31.7109375" customWidth="1" style="70" min="16" max="16"/>
  </cols>
  <sheetData>
    <row r="1" ht="25.5" customHeight="1" s="70">
      <c r="A1" s="69" t="inlineStr">
        <is>
          <t>🦅 DYNASTIE-DEPOT – Rebalancing Tool v3.4</t>
        </is>
      </c>
    </row>
    <row r="2" ht="13.5" customHeight="1" s="70">
      <c r="A2" s="71" t="n">
        <v>46135</v>
      </c>
    </row>
    <row r="3" ht="3.75" customHeight="1" s="70"/>
    <row r="4" ht="36" customHeight="1" s="70">
      <c r="A4" s="1" t="inlineStr">
        <is>
          <t>Position</t>
        </is>
      </c>
      <c r="B4" s="1" t="inlineStr">
        <is>
          <t>Ticker</t>
        </is>
      </c>
      <c r="C4" s="1" t="inlineStr">
        <is>
          <t>Typ</t>
        </is>
      </c>
      <c r="D4" s="1" t="inlineStr">
        <is>
          <t>Broker</t>
        </is>
      </c>
      <c r="E4" s="1" t="inlineStr">
        <is>
          <t>US-
Faktor</t>
        </is>
      </c>
      <c r="F4" s="1" t="inlineStr">
        <is>
          <t>Depotwert
€</t>
        </is>
      </c>
      <c r="G4" s="1" t="inlineStr">
        <is>
          <t>Ist-
Anteil %</t>
        </is>
      </c>
      <c r="H4" s="1" t="inlineStr">
        <is>
          <t>Ziel-
Anteil %</t>
        </is>
      </c>
      <c r="I4" s="1" t="inlineStr">
        <is>
          <t>Zielwert
€</t>
        </is>
      </c>
      <c r="J4" s="1" t="inlineStr">
        <is>
          <t>Fehlbetrag
€</t>
        </is>
      </c>
      <c r="K4" s="1" t="inlineStr">
        <is>
          <t>Abw.
%</t>
        </is>
      </c>
      <c r="L4" s="1" t="inlineStr">
        <is>
          <t>Aktion</t>
        </is>
      </c>
      <c r="M4" s="1" t="inlineStr">
        <is>
          <t>⚠️ Cap-
Check</t>
        </is>
      </c>
      <c r="N4" s="1" t="inlineStr">
        <is>
          <t>DEFCON
Score</t>
        </is>
      </c>
      <c r="O4" s="1" t="inlineStr">
        <is>
          <t>🚩 FLAG-Status</t>
        </is>
      </c>
      <c r="P4" s="1" t="inlineStr">
        <is>
          <t>💶 Sparrate
€/Monat</t>
        </is>
      </c>
    </row>
    <row r="5" ht="16.5" customHeight="1" s="70">
      <c r="A5" s="2" t="inlineStr">
        <is>
          <t>EUWAX Gold</t>
        </is>
      </c>
      <c r="B5" s="3" t="inlineStr">
        <is>
          <t>EWG2</t>
        </is>
      </c>
      <c r="C5" s="3" t="inlineStr">
        <is>
          <t>Gold</t>
        </is>
      </c>
      <c r="D5" s="3" t="inlineStr">
        <is>
          <t>Scalable</t>
        </is>
      </c>
      <c r="E5" s="4" t="n">
        <v>0</v>
      </c>
      <c r="F5" s="5" t="n">
        <v>511</v>
      </c>
      <c r="G5" s="6">
        <f>IF(F$25=0,0,F5/F$25)</f>
        <v/>
      </c>
      <c r="H5" s="6" t="n">
        <v>0.05</v>
      </c>
      <c r="I5" s="5">
        <f>H5*F$25</f>
        <v/>
      </c>
      <c r="J5" s="5">
        <f>I5-F5</f>
        <v/>
      </c>
      <c r="K5" s="6">
        <f>G5-H5</f>
        <v/>
      </c>
      <c r="L5" s="3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/>
      </c>
      <c r="M5" s="7">
        <f>IF(C5="Aktie",IF(G5&gt;'Parameter &amp; Regeln'!B$10,"🚨 ÜBER CAP","✅ OK"),"")</f>
        <v/>
      </c>
      <c r="N5" s="3" t="n"/>
      <c r="O5" s="3" t="n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6" ht="16.5" customHeight="1" s="70">
      <c r="A6" s="8" t="inlineStr">
        <is>
          <t>iShares MSCI World</t>
        </is>
      </c>
      <c r="B6" s="9" t="inlineStr">
        <is>
          <t>IWDA</t>
        </is>
      </c>
      <c r="C6" s="9" t="inlineStr">
        <is>
          <t>ETF</t>
        </is>
      </c>
      <c r="D6" s="9" t="inlineStr">
        <is>
          <t>ING</t>
        </is>
      </c>
      <c r="E6" s="10" t="n">
        <v>0.7</v>
      </c>
      <c r="F6" s="11" t="n">
        <v>2960.39</v>
      </c>
      <c r="G6" s="12">
        <f>IF(F$25=0,0,F6/F$25)</f>
        <v/>
      </c>
      <c r="H6" s="12" t="n">
        <v>0.3</v>
      </c>
      <c r="I6" s="11">
        <f>H6*F$25</f>
        <v/>
      </c>
      <c r="J6" s="11">
        <f>I6-F6</f>
        <v/>
      </c>
      <c r="K6" s="12">
        <f>G6-H6</f>
        <v/>
      </c>
      <c r="L6" s="9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/>
      </c>
      <c r="M6" s="13">
        <f>IF(C6="Aktie",IF(G6&gt;'Parameter &amp; Regeln'!B$10,"🚨 ÜBER CAP","✅ OK"),"")</f>
        <v/>
      </c>
      <c r="N6" s="9" t="n"/>
      <c r="O6" s="9" t="n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7" ht="16.5" customHeight="1" s="70">
      <c r="A7" s="8" t="inlineStr">
        <is>
          <t>iShares MSCI EM IMI</t>
        </is>
      </c>
      <c r="B7" s="9" t="inlineStr">
        <is>
          <t>EIMI</t>
        </is>
      </c>
      <c r="C7" s="9" t="inlineStr">
        <is>
          <t>ETF</t>
        </is>
      </c>
      <c r="D7" s="9" t="inlineStr">
        <is>
          <t>ING</t>
        </is>
      </c>
      <c r="E7" s="10" t="n">
        <v>0</v>
      </c>
      <c r="F7" s="11" t="n">
        <v>1002.95</v>
      </c>
      <c r="G7" s="12">
        <f>IF(F$25=0,0,F7/F$25)</f>
        <v/>
      </c>
      <c r="H7" s="12" t="n">
        <v>0.1</v>
      </c>
      <c r="I7" s="11">
        <f>H7*F$25</f>
        <v/>
      </c>
      <c r="J7" s="11">
        <f>I7-F7</f>
        <v/>
      </c>
      <c r="K7" s="12">
        <f>G7-H7</f>
        <v/>
      </c>
      <c r="L7" s="9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/>
      </c>
      <c r="M7" s="13">
        <f>IF(C7="Aktie",IF(G7&gt;'Parameter &amp; Regeln'!B$10,"🚨 ÜBER CAP","✅ OK"),"")</f>
        <v/>
      </c>
      <c r="N7" s="9" t="n"/>
      <c r="O7" s="9" t="n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8" ht="16.5" customHeight="1" s="70">
      <c r="A8" s="8" t="inlineStr">
        <is>
          <t>MSCI World ex-USA</t>
        </is>
      </c>
      <c r="B8" s="9" t="inlineStr">
        <is>
          <t>EXUSA</t>
        </is>
      </c>
      <c r="C8" s="9" t="inlineStr">
        <is>
          <t>ETF</t>
        </is>
      </c>
      <c r="D8" s="9" t="inlineStr">
        <is>
          <t>ING</t>
        </is>
      </c>
      <c r="E8" s="10" t="n">
        <v>0</v>
      </c>
      <c r="F8" s="11" t="n">
        <v>955.6799999999999</v>
      </c>
      <c r="G8" s="12">
        <f>IF(F$25=0,0,F8/F$25)</f>
        <v/>
      </c>
      <c r="H8" s="12" t="n">
        <v>0.15</v>
      </c>
      <c r="I8" s="11">
        <f>H8*F$25</f>
        <v/>
      </c>
      <c r="J8" s="11">
        <f>I8-F8</f>
        <v/>
      </c>
      <c r="K8" s="12">
        <f>G8-H8</f>
        <v/>
      </c>
      <c r="L8" s="9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/>
      </c>
      <c r="M8" s="13">
        <f>IF(C8="Aktie",IF(G8&gt;'Parameter &amp; Regeln'!B$10,"🚨 ÜBER CAP","✅ OK"),"")</f>
        <v/>
      </c>
      <c r="N8" s="9" t="n"/>
      <c r="O8" s="9" t="n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9" ht="16.5" customHeight="1" s="70">
      <c r="A9" s="8" t="inlineStr">
        <is>
          <t>Avantis Small Cap Value</t>
        </is>
      </c>
      <c r="B9" s="9" t="inlineStr">
        <is>
          <t>AVGC</t>
        </is>
      </c>
      <c r="C9" s="9" t="inlineStr">
        <is>
          <t>ETF</t>
        </is>
      </c>
      <c r="D9" s="9" t="inlineStr">
        <is>
          <t>Scalable</t>
        </is>
      </c>
      <c r="E9" s="10" t="n">
        <v>0.67</v>
      </c>
      <c r="F9" s="11" t="n">
        <v>1001</v>
      </c>
      <c r="G9" s="12">
        <f>IF(F$25=0,0,F9/F$25)</f>
        <v/>
      </c>
      <c r="H9" s="12" t="n">
        <v>0.1</v>
      </c>
      <c r="I9" s="11">
        <f>H9*F$25</f>
        <v/>
      </c>
      <c r="J9" s="11">
        <f>I9-F9</f>
        <v/>
      </c>
      <c r="K9" s="12">
        <f>G9-H9</f>
        <v/>
      </c>
      <c r="L9" s="9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/>
      </c>
      <c r="M9" s="13">
        <f>IF(C9="Aktie",IF(G9&gt;'Parameter &amp; Regeln'!B$10,"🚨 ÜBER CAP","✅ OK"),"")</f>
        <v/>
      </c>
      <c r="N9" s="9" t="n"/>
      <c r="O9" s="9" t="n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0" ht="16.5" customHeight="1" s="70">
      <c r="A10" s="14" t="inlineStr">
        <is>
          <t>ASML Holding</t>
        </is>
      </c>
      <c r="B10" s="15" t="inlineStr">
        <is>
          <t>ASML</t>
        </is>
      </c>
      <c r="C10" s="15" t="inlineStr">
        <is>
          <t>Aktie</t>
        </is>
      </c>
      <c r="D10" s="15" t="inlineStr">
        <is>
          <t>Scalable</t>
        </is>
      </c>
      <c r="E10" s="16" t="n">
        <v>0</v>
      </c>
      <c r="F10" s="17" t="n">
        <v>388</v>
      </c>
      <c r="G10" s="18">
        <f>IF(F$25=0,0,F10/F$25)</f>
        <v/>
      </c>
      <c r="H10" s="18" t="n">
        <v>0.0273</v>
      </c>
      <c r="I10" s="17">
        <f>H10*F$25</f>
        <v/>
      </c>
      <c r="J10" s="17">
        <f>IF(P10=0,0,I10-F10)</f>
        <v/>
      </c>
      <c r="K10" s="18">
        <f>G10-H10</f>
        <v/>
      </c>
      <c r="L10" s="15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/>
      </c>
      <c r="M10" s="19">
        <f>IF(C10="Aktie",IF(G10&gt;'Parameter &amp; Regeln'!B$10,"🚨 ÜBER CAP","✅ OK"),"")</f>
        <v/>
      </c>
      <c r="N10" s="15" t="inlineStr">
        <is>
          <t>DEFCON 3 (68)</t>
        </is>
      </c>
      <c r="O10" s="15" t="inlineStr">
        <is>
          <t>🟡 DEFCON 3 (68) | China Rev 14.7% Risk-Map</t>
        </is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1" ht="16.5" customHeight="1" s="70">
      <c r="A11" s="20" t="inlineStr">
        <is>
          <t>Broadcom</t>
        </is>
      </c>
      <c r="B11" s="21" t="inlineStr">
        <is>
          <t>AVGO</t>
        </is>
      </c>
      <c r="C11" s="21" t="inlineStr">
        <is>
          <t>Aktie</t>
        </is>
      </c>
      <c r="D11" s="21" t="inlineStr">
        <is>
          <t>Scalable</t>
        </is>
      </c>
      <c r="E11" s="22" t="n">
        <v>1</v>
      </c>
      <c r="F11" s="23" t="n">
        <v>453</v>
      </c>
      <c r="G11" s="24">
        <f>IF(F$25=0,0,F11/F$25)</f>
        <v/>
      </c>
      <c r="H11" s="24" t="n">
        <v>0.0273</v>
      </c>
      <c r="I11" s="23">
        <f>H11*F$25</f>
        <v/>
      </c>
      <c r="J11" s="23">
        <f>IF(P11=0,0,I11-F11)</f>
        <v/>
      </c>
      <c r="K11" s="24">
        <f>G11-H11</f>
        <v/>
      </c>
      <c r="L11" s="21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/>
      </c>
      <c r="M11" s="25">
        <f>IF(C11="Aktie",IF(G11&gt;'Parameter &amp; Regeln'!B$10,"🚨 ÜBER CAP","✅ OK"),"")</f>
        <v/>
      </c>
      <c r="N11" s="21" t="inlineStr">
        <is>
          <t>DEFCON 4 (84) | Insider-Check Q3</t>
        </is>
      </c>
      <c r="O11" s="21" t="inlineStr">
        <is>
          <t>✅ Clean</t>
        </is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2" ht="16.5" customHeight="1" s="70">
      <c r="A12" s="14" t="inlineStr">
        <is>
          <t>Microsoft</t>
        </is>
      </c>
      <c r="B12" s="15" t="inlineStr">
        <is>
          <t>MSFT</t>
        </is>
      </c>
      <c r="C12" s="15" t="inlineStr">
        <is>
          <t>Aktie</t>
        </is>
      </c>
      <c r="D12" s="15" t="inlineStr">
        <is>
          <t>Scalable</t>
        </is>
      </c>
      <c r="E12" s="16" t="n">
        <v>1</v>
      </c>
      <c r="F12" s="17" t="n">
        <v>333</v>
      </c>
      <c r="G12" s="18">
        <f>IF(F$25=0,0,F12/F$25)</f>
        <v/>
      </c>
      <c r="H12" s="18" t="n">
        <v>0.0273</v>
      </c>
      <c r="I12" s="17">
        <f>H12*F$25</f>
        <v/>
      </c>
      <c r="J12" s="17">
        <f>IF(P12=0,0,I12-F12)</f>
        <v/>
      </c>
      <c r="K12" s="18">
        <f>G12-H12</f>
        <v/>
      </c>
      <c r="L12" s="15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/>
      </c>
      <c r="M12" s="19">
        <f>IF(C12="Aktie",IF(G12&gt;'Parameter &amp; Regeln'!B$10,"🚨 ÜBER CAP","✅ OK"),"")</f>
        <v/>
      </c>
      <c r="N12" s="15" t="inlineStr">
        <is>
          <t>DEFCON 2 (59)</t>
        </is>
      </c>
      <c r="O12" s="15" t="inlineStr">
        <is>
          <t>🔴 FLAG: CapEx/OCF &gt;60% | Score 59 | DEFCON 2 | Re-Check 29.04.</t>
        </is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3" ht="16.5" customHeight="1" s="70">
      <c r="A13" s="20" t="inlineStr">
        <is>
          <t>Costco</t>
        </is>
      </c>
      <c r="B13" s="21" t="inlineStr">
        <is>
          <t>COST</t>
        </is>
      </c>
      <c r="C13" s="21" t="inlineStr">
        <is>
          <t>Aktie</t>
        </is>
      </c>
      <c r="D13" s="21" t="inlineStr">
        <is>
          <t>Scalable</t>
        </is>
      </c>
      <c r="E13" s="22" t="n">
        <v>1</v>
      </c>
      <c r="F13" s="23" t="n">
        <v>346</v>
      </c>
      <c r="G13" s="24">
        <f>IF(F$25=0,0,F13/F$25)</f>
        <v/>
      </c>
      <c r="H13" s="24" t="n">
        <v>0.0273</v>
      </c>
      <c r="I13" s="23">
        <f>H13*F$25</f>
        <v/>
      </c>
      <c r="J13" s="23">
        <f>IF(P13=0,0,I13-F13)</f>
        <v/>
      </c>
      <c r="K13" s="24">
        <f>G13-H13</f>
        <v/>
      </c>
      <c r="L13" s="21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/>
      </c>
      <c r="M13" s="25">
        <f>IF(C13="Aktie",IF(G13&gt;'Parameter &amp; Regeln'!B$10,"🚨 ÜBER CAP","✅ OK"),"")</f>
        <v/>
      </c>
      <c r="N13" s="21" t="inlineStr">
        <is>
          <t>DEFCON 3 (69) | MY 15.2% &gt; WACC</t>
        </is>
      </c>
      <c r="O13" s="21" t="inlineStr">
        <is>
          <t>✅ Clean</t>
        </is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4" ht="16.5" customHeight="1" s="70">
      <c r="A14" s="14" t="inlineStr">
        <is>
          <t>Hermès</t>
        </is>
      </c>
      <c r="B14" s="15" t="inlineStr">
        <is>
          <t>RMS</t>
        </is>
      </c>
      <c r="C14" s="15" t="inlineStr">
        <is>
          <t>Aktie</t>
        </is>
      </c>
      <c r="D14" s="15" t="inlineStr">
        <is>
          <t>Scalable</t>
        </is>
      </c>
      <c r="E14" s="16" t="n">
        <v>0</v>
      </c>
      <c r="F14" s="17" t="n">
        <v>396</v>
      </c>
      <c r="G14" s="18">
        <f>IF(F$25=0,0,F14/F$25)</f>
        <v/>
      </c>
      <c r="H14" s="18" t="n">
        <v>0.0273</v>
      </c>
      <c r="I14" s="17">
        <f>H14*F$25</f>
        <v/>
      </c>
      <c r="J14" s="17">
        <f>IF(P14=0,0,I14-F14)</f>
        <v/>
      </c>
      <c r="K14" s="18">
        <f>G14-H14</f>
        <v/>
      </c>
      <c r="L14" s="15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/>
      </c>
      <c r="M14" s="19">
        <f>IF(C14="Aktie",IF(G14&gt;'Parameter &amp; Regeln'!B$10,"🚨 ÜBER CAP","✅ OK"),"")</f>
        <v/>
      </c>
      <c r="N14" s="15" t="inlineStr">
        <is>
          <t>DEFCON 3 (68) | Q1 Miss: −8.4% | Moat intakt</t>
        </is>
      </c>
      <c r="O14" s="15" t="inlineStr">
        <is>
          <t>✅ Clean | Re-Analyse 17.04.2026 v3.7</t>
        </is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5" ht="16.5" customHeight="1" s="70">
      <c r="A15" s="20" t="inlineStr">
        <is>
          <t>Veeva Systems</t>
        </is>
      </c>
      <c r="B15" s="21" t="inlineStr">
        <is>
          <t>VEEV</t>
        </is>
      </c>
      <c r="C15" s="21" t="inlineStr">
        <is>
          <t>Aktie</t>
        </is>
      </c>
      <c r="D15" s="21" t="inlineStr">
        <is>
          <t>Scalable</t>
        </is>
      </c>
      <c r="E15" s="22" t="n">
        <v>1</v>
      </c>
      <c r="F15" s="23" t="n">
        <v>302</v>
      </c>
      <c r="G15" s="24">
        <f>IF(F$25=0,0,F15/F$25)</f>
        <v/>
      </c>
      <c r="H15" s="24" t="n">
        <v>0.0273</v>
      </c>
      <c r="I15" s="23">
        <f>H15*F$25</f>
        <v/>
      </c>
      <c r="J15" s="23">
        <f>IF(P15=0,0,I15-F15)</f>
        <v/>
      </c>
      <c r="K15" s="24">
        <f>G15-H15</f>
        <v/>
      </c>
      <c r="L15" s="21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/>
      </c>
      <c r="M15" s="25">
        <f>IF(C15="Aktie",IF(G15&gt;'Parameter &amp; Regeln'!B$10,"🚨 ÜBER CAP","✅ OK"),"")</f>
        <v/>
      </c>
      <c r="N15" s="21" t="inlineStr">
        <is>
          <t>DEFCON 3 (74)</t>
        </is>
      </c>
      <c r="O15" s="21" t="inlineStr">
        <is>
          <t>✅ Clean</t>
        </is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6" ht="16.5" customHeight="1" s="70">
      <c r="A16" s="14" t="inlineStr">
        <is>
          <t>Schneider Electric</t>
        </is>
      </c>
      <c r="B16" s="15" t="inlineStr">
        <is>
          <t>SU</t>
        </is>
      </c>
      <c r="C16" s="15" t="inlineStr">
        <is>
          <t>Aktie</t>
        </is>
      </c>
      <c r="D16" s="15" t="inlineStr">
        <is>
          <t>Scalable</t>
        </is>
      </c>
      <c r="E16" s="16" t="n">
        <v>0</v>
      </c>
      <c r="F16" s="17" t="n">
        <v>390</v>
      </c>
      <c r="G16" s="18">
        <f>IF(F$25=0,0,F16/F$25)</f>
        <v/>
      </c>
      <c r="H16" s="18" t="n">
        <v>0.0273</v>
      </c>
      <c r="I16" s="17">
        <f>H16*F$25</f>
        <v/>
      </c>
      <c r="J16" s="17">
        <f>IF(P16=0,0,I16-F16)</f>
        <v/>
      </c>
      <c r="K16" s="18">
        <f>G16-H16</f>
        <v/>
      </c>
      <c r="L16" s="15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/>
      </c>
      <c r="M16" s="19">
        <f>IF(C16="Aktie",IF(G16&gt;'Parameter &amp; Regeln'!B$10,"🚨 ÜBER CAP","✅ OK"),"")</f>
        <v/>
      </c>
      <c r="N16" s="15" t="inlineStr">
        <is>
          <t>DEFCON 3 (69)</t>
        </is>
      </c>
      <c r="O16" s="15" t="inlineStr">
        <is>
          <t>✅ Clean</t>
        </is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7" ht="16.5" customHeight="1" s="70">
      <c r="A17" s="20" t="inlineStr">
        <is>
          <t>Berkshire Hathaway</t>
        </is>
      </c>
      <c r="B17" s="21" t="inlineStr">
        <is>
          <t>BRK.B</t>
        </is>
      </c>
      <c r="C17" s="21" t="inlineStr">
        <is>
          <t>Aktie</t>
        </is>
      </c>
      <c r="D17" s="21" t="inlineStr">
        <is>
          <t>Scalable</t>
        </is>
      </c>
      <c r="E17" s="22" t="n">
        <v>1</v>
      </c>
      <c r="F17" s="23" t="n">
        <v>392</v>
      </c>
      <c r="G17" s="24">
        <f>IF(F$25=0,0,F17/F$25)</f>
        <v/>
      </c>
      <c r="H17" s="24" t="n">
        <v>0.0273</v>
      </c>
      <c r="I17" s="23">
        <f>H17*F$25</f>
        <v/>
      </c>
      <c r="J17" s="23">
        <f>IF(P17=0,0,I17-F17)</f>
        <v/>
      </c>
      <c r="K17" s="24">
        <f>G17-H17</f>
        <v/>
      </c>
      <c r="L17" s="21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/>
      </c>
      <c r="M17" s="25">
        <f>IF(C17="Aktie",IF(G17&gt;'Parameter &amp; Regeln'!B$10,"🚨 ÜBER CAP","✅ OK"),"")</f>
        <v/>
      </c>
      <c r="N17" s="21" t="inlineStr">
        <is>
          <t>DEFCON 3 (75) | Abel Käufe $15.3M</t>
        </is>
      </c>
      <c r="O17" s="21" t="inlineStr">
        <is>
          <t>✅ Clean</t>
        </is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8" ht="16.5" customHeight="1" s="70">
      <c r="A18" s="14" t="inlineStr">
        <is>
          <t>Visa</t>
        </is>
      </c>
      <c r="B18" s="15" t="inlineStr">
        <is>
          <t>V</t>
        </is>
      </c>
      <c r="C18" s="15" t="inlineStr">
        <is>
          <t>Aktie</t>
        </is>
      </c>
      <c r="D18" s="15" t="inlineStr">
        <is>
          <t>Scalable</t>
        </is>
      </c>
      <c r="E18" s="16" t="n">
        <v>1</v>
      </c>
      <c r="F18" s="17" t="n">
        <v>427</v>
      </c>
      <c r="G18" s="18">
        <f>IF(F$25=0,0,F18/F$25)</f>
        <v/>
      </c>
      <c r="H18" s="18" t="n">
        <v>0.0273</v>
      </c>
      <c r="I18" s="17">
        <f>H18*F$25</f>
        <v/>
      </c>
      <c r="J18" s="17">
        <f>IF(P18=0,0,I18-F18)</f>
        <v/>
      </c>
      <c r="K18" s="18">
        <f>G18-H18</f>
        <v/>
      </c>
      <c r="L18" s="15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/>
      </c>
      <c r="M18" s="19">
        <f>IF(C18="Aktie",IF(G18&gt;'Parameter &amp; Regeln'!B$10,"🚨 ÜBER CAP","✅ OK"),"")</f>
        <v/>
      </c>
      <c r="N18" s="15" t="inlineStr">
        <is>
          <t>DEFCON 2 (63)</t>
        </is>
      </c>
      <c r="O18" s="15" t="inlineStr">
        <is>
          <t>🟠 DEFCON 2 (63) | Forward 18.04. nach Advisor-Review | Q2 FY26 28.04.</t>
        </is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9" ht="16.5" customHeight="1" s="70">
      <c r="A19" s="20" t="inlineStr">
        <is>
          <t>Thermo Fisher</t>
        </is>
      </c>
      <c r="B19" s="21" t="inlineStr">
        <is>
          <t>TMO</t>
        </is>
      </c>
      <c r="C19" s="21" t="inlineStr">
        <is>
          <t>Aktie</t>
        </is>
      </c>
      <c r="D19" s="21" t="inlineStr">
        <is>
          <t>Scalable</t>
        </is>
      </c>
      <c r="E19" s="22" t="n">
        <v>1</v>
      </c>
      <c r="F19" s="23" t="n">
        <v>270</v>
      </c>
      <c r="G19" s="24">
        <f>IF(F$25=0,0,F19/F$25)</f>
        <v/>
      </c>
      <c r="H19" s="24" t="n">
        <v>0.0273</v>
      </c>
      <c r="I19" s="23">
        <f>H19*F$25</f>
        <v/>
      </c>
      <c r="J19" s="23">
        <f>IF(P19=0,0,I19-F19)</f>
        <v/>
      </c>
      <c r="K19" s="24">
        <f>G19-H19</f>
        <v/>
      </c>
      <c r="L19" s="21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/>
      </c>
      <c r="M19" s="25">
        <f>IF(C19="Aktie",IF(G19&gt;'Parameter &amp; Regeln'!B$10,"🚨 ÜBER CAP","✅ OK"),"")</f>
        <v/>
      </c>
      <c r="N19" s="21" t="inlineStr">
        <is>
          <t>DEFCON 3 (67)</t>
        </is>
      </c>
      <c r="O19" s="21" t="inlineStr">
        <is>
          <t>🟡 DEFCON 3 (67) | fcf_trend_neg Resolve (Q1 WC-Unwind bestätigt) | Q2 ~Ende Juli</t>
        </is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0" ht="16.5" customHeight="1" s="70">
      <c r="A20" s="14" t="inlineStr">
        <is>
          <t>Amphenol</t>
        </is>
      </c>
      <c r="B20" s="15" t="inlineStr">
        <is>
          <t>APH</t>
        </is>
      </c>
      <c r="C20" s="15" t="inlineStr">
        <is>
          <t>Aktie</t>
        </is>
      </c>
      <c r="D20" s="15" t="inlineStr">
        <is>
          <t>Scalable</t>
        </is>
      </c>
      <c r="E20" s="16" t="n">
        <v>1</v>
      </c>
      <c r="F20" s="17" t="n">
        <v>292</v>
      </c>
      <c r="G20" s="18">
        <f>IF(F$25=0,0,F20/F$25)</f>
        <v/>
      </c>
      <c r="H20" s="18" t="n">
        <v>0.027</v>
      </c>
      <c r="I20" s="17">
        <f>H20*F$25</f>
        <v/>
      </c>
      <c r="J20" s="17">
        <f>IF(P20=0,0,I20-F20)</f>
        <v/>
      </c>
      <c r="K20" s="18">
        <f>G20-H20</f>
        <v/>
      </c>
      <c r="L20" s="15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/>
      </c>
      <c r="M20" s="19">
        <f>IF(C20="Aktie",IF(G20&gt;'Parameter &amp; Regeln'!B$10,"🚨 ÜBER CAP","✅ OK"),"")</f>
        <v/>
      </c>
      <c r="N20" s="15" t="inlineStr">
        <is>
          <t>DEFCON 2 (63)</t>
        </is>
      </c>
      <c r="O20" s="15" t="inlineStr">
        <is>
          <t>🔴 FLAG: Score 63 (DEFCON 2 seit 18.04.) | Tariff-Check: CN 14.7% Risk-Map</t>
        </is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1" ht="18.75" customHeight="1" s="70">
      <c r="A21" s="26" t="inlineStr">
        <is>
          <t>📊 GESAMT</t>
        </is>
      </c>
      <c r="B21" s="27" t="n"/>
      <c r="C21" s="27" t="n"/>
      <c r="D21" s="27" t="n"/>
      <c r="E21" s="27" t="n"/>
      <c r="F21" s="28">
        <f>SUM(F5:F20)</f>
        <v/>
      </c>
      <c r="G21" s="29">
        <f>SUM(G5:G20)</f>
        <v/>
      </c>
      <c r="H21" s="29">
        <f>SUM(H5:H20)</f>
        <v/>
      </c>
      <c r="I21" s="28">
        <f>SUM(I5:I20)</f>
        <v/>
      </c>
      <c r="J21" s="28">
        <f>ROUND(SUM(J5:J20),2)</f>
        <v/>
      </c>
      <c r="K21" s="29">
        <f>SUMPRODUCT((C5:C20="Aktie")*ABS(K5:K20))/COUNTIF(C5:C20,"Aktie")</f>
        <v/>
      </c>
      <c r="L21" s="26" t="inlineStr">
        <is>
          <t>Ø Drift ges.</t>
        </is>
      </c>
      <c r="M21" s="30">
        <f>COUNTIF(M5:M20,"🚨 ÜBER CAP")</f>
        <v/>
      </c>
      <c r="N21" s="31">
        <f>COUNTIF(N5:N20,"DEFCON 1*")+COUNTIF(N5:N20,"DEFCON 2*")+COUNTIF(N5:N20,"DEFCON 3*")</f>
        <v/>
      </c>
      <c r="O21" s="31">
        <f>COUNTIF(O5:O20,"🚩*")+COUNTIF(O5:O20,"🔴*")</f>
        <v/>
      </c>
      <c r="P21" s="28">
        <f>SUMIF(C5:C20,"Aktie",P5:P20)+SUMIF(C5:C20,"&lt;&gt;Aktie",P5:P20)</f>
        <v/>
      </c>
    </row>
    <row r="22" ht="16.5" customHeight="1" s="70">
      <c r="K22" s="32">
        <f>SUMPRODUCT((C5:C20&lt;&gt;"Aktie")*ABS(K5:K20))/COUNTIF(C5:C20,"&lt;&gt;Aktie")</f>
        <v/>
      </c>
      <c r="L22" s="33" t="inlineStr">
        <is>
          <t>Ø ETF/Gold-Drift</t>
        </is>
      </c>
      <c r="M22" s="34">
        <f>COUNTIF(M5:M9,"🚨 ÜBER CAP")</f>
        <v/>
      </c>
      <c r="N22" s="35" t="inlineStr">
        <is>
          <t>⚠️ DEFCON ≤ 3</t>
        </is>
      </c>
      <c r="O22" s="35" t="inlineStr">
        <is>
          <t>🚩 Aktive FLAGs</t>
        </is>
      </c>
      <c r="P22" s="36" t="inlineStr">
        <is>
          <t>Check: Sparrate gesamt</t>
        </is>
      </c>
    </row>
    <row r="23" ht="16.5" customHeight="1" s="70">
      <c r="A23" s="37" t="inlineStr">
        <is>
          <t>Scalable Cash (verfügbar)</t>
        </is>
      </c>
      <c r="F23" s="38" t="n">
        <v>1550.53</v>
      </c>
    </row>
    <row r="24" ht="16.5" customHeight="1" s="70">
      <c r="A24" s="39" t="inlineStr">
        <is>
          <t>📝 Neuinvestition (manuell eingeben)</t>
        </is>
      </c>
      <c r="F24" s="40" t="n">
        <v>1450</v>
      </c>
    </row>
    <row r="25" ht="16.5" customHeight="1" s="70">
      <c r="A25" s="37" t="inlineStr">
        <is>
          <t>Gesamtwert nach Invest</t>
        </is>
      </c>
      <c r="F25" s="41">
        <f>F21 + F24</f>
        <v/>
      </c>
    </row>
    <row r="26" ht="16.5" customHeight="1" s="70">
      <c r="A26" s="39" t="inlineStr">
        <is>
          <t>Noch zu überweisen (ING + Δ Scalable)</t>
        </is>
      </c>
      <c r="F26" s="42">
        <f>F24 - MIN(F23, SUMIFS(J5:J20, D5:D20, "Scalable", J5:J20, "&gt;0"))</f>
        <v/>
      </c>
    </row>
  </sheetData>
  <mergeCells count="2">
    <mergeCell ref="A1:P1"/>
    <mergeCell ref="A2:P2"/>
  </mergeCells>
  <conditionalFormatting sqref="L5:L20">
    <cfRule type="expression" priority="2" dxfId="17">
      <formula>NOT(ISERROR(SEARCH("Reduzieren",L5)))</formula>
    </cfRule>
    <cfRule type="expression" priority="3" dxfId="14">
      <formula>NOT(ISERROR(SEARCH("Aufstocken",L5)))</formula>
    </cfRule>
    <cfRule type="expression" priority="4" dxfId="13">
      <formula>NOT(ISERROR(SEARCH("Halten",L5)))</formula>
    </cfRule>
  </conditionalFormatting>
  <conditionalFormatting sqref="M5:M20">
    <cfRule type="expression" priority="5" dxfId="14">
      <formula>NOT(ISERROR(SEARCH("ÜBER CAP",M5)))</formula>
    </cfRule>
    <cfRule type="expression" priority="6" dxfId="13">
      <formula>NOT(ISERROR(SEARCH("OK",M5)))</formula>
    </cfRule>
  </conditionalFormatting>
  <conditionalFormatting sqref="N5:N20">
    <cfRule type="expression" priority="16" dxfId="7" stopIfTrue="1">
      <formula>LEFT(N5,8)="DEFCON 4"</formula>
    </cfRule>
    <cfRule type="expression" priority="16" dxfId="5" stopIfTrue="1">
      <formula>LEFT(N5,8)="DEFCON 3"</formula>
    </cfRule>
    <cfRule type="expression" priority="17" dxfId="4" stopIfTrue="1">
      <formula>LEFT(N5,8)="DEFCON 2"</formula>
    </cfRule>
    <cfRule type="expression" priority="18" dxfId="3" stopIfTrue="1">
      <formula>LEFT(N5,8)="DEFCON 1"</formula>
    </cfRule>
  </conditionalFormatting>
  <conditionalFormatting sqref="O5:O20">
    <cfRule type="expression" priority="19" dxfId="7" stopIfTrue="1">
      <formula>O5="✅ Clean"</formula>
    </cfRule>
    <cfRule type="expression" priority="19" dxfId="7" stopIfTrue="1">
      <formula>LEFT(O5,1)="🟢"</formula>
    </cfRule>
    <cfRule type="expression" priority="19" dxfId="5" stopIfTrue="1">
      <formula>LEFT(O5,1)="🟡"</formula>
    </cfRule>
    <cfRule type="expression" priority="20" dxfId="5" stopIfTrue="1">
      <formula>LEFT(O5,1)="🚩"</formula>
    </cfRule>
    <cfRule type="expression" priority="21" dxfId="4" stopIfTrue="1">
      <formula>LEFT(O5,1)="🟠"</formula>
    </cfRule>
    <cfRule type="expression" priority="22" dxfId="3" stopIfTrue="1">
      <formula>LEFT(O5,1)="🔴"</formula>
    </cfRule>
  </conditionalFormatting>
  <conditionalFormatting sqref="P5:P20">
    <cfRule type="expression" priority="15" dxfId="2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E43" sqref="E43"/>
    </sheetView>
  </sheetViews>
  <sheetFormatPr baseColWidth="10" defaultColWidth="9.140625" defaultRowHeight="15"/>
  <cols>
    <col width="22.42578125" customWidth="1" style="70" min="1" max="1"/>
    <col width="12" customWidth="1" style="70" min="2" max="2"/>
    <col width="14" customWidth="1" style="70" min="3" max="3"/>
    <col width="12" customWidth="1" style="70" min="4" max="4"/>
    <col width="14" customWidth="1" style="70" min="5" max="5"/>
  </cols>
  <sheetData>
    <row r="1" ht="18.75" customHeight="1" s="70">
      <c r="A1" s="43" t="inlineStr">
        <is>
          <t xml:space="preserve"> US-EXPOSURE TRACKER</t>
        </is>
      </c>
    </row>
    <row r="3">
      <c r="A3" s="44" t="inlineStr">
        <is>
          <t>Position</t>
        </is>
      </c>
      <c r="B3" s="44" t="inlineStr">
        <is>
          <t>Ticker</t>
        </is>
      </c>
      <c r="C3" s="44" t="inlineStr">
        <is>
          <t>Depotwert €</t>
        </is>
      </c>
      <c r="D3" s="44" t="inlineStr">
        <is>
          <t>US-Faktor</t>
        </is>
      </c>
      <c r="E3" s="44" t="inlineStr">
        <is>
          <t>US-Anteil €</t>
        </is>
      </c>
    </row>
    <row r="4">
      <c r="A4" s="45">
        <f>'Portfolio &amp; Rebalancing'!A5</f>
        <v/>
      </c>
      <c r="B4" s="46">
        <f>'Portfolio &amp; Rebalancing'!B5</f>
        <v/>
      </c>
      <c r="C4" s="47">
        <f>'Portfolio &amp; Rebalancing'!F5</f>
        <v/>
      </c>
      <c r="D4" s="48">
        <f>'Portfolio &amp; Rebalancing'!E5</f>
        <v/>
      </c>
      <c r="E4" s="47">
        <f>C4*D4</f>
        <v/>
      </c>
    </row>
    <row r="5">
      <c r="A5" s="45">
        <f>'Portfolio &amp; Rebalancing'!A6</f>
        <v/>
      </c>
      <c r="B5" s="46">
        <f>'Portfolio &amp; Rebalancing'!B6</f>
        <v/>
      </c>
      <c r="C5" s="47">
        <f>'Portfolio &amp; Rebalancing'!F6</f>
        <v/>
      </c>
      <c r="D5" s="48">
        <f>'Portfolio &amp; Rebalancing'!E6</f>
        <v/>
      </c>
      <c r="E5" s="47">
        <f>C5*D5</f>
        <v/>
      </c>
    </row>
    <row r="6">
      <c r="A6" s="45">
        <f>'Portfolio &amp; Rebalancing'!A7</f>
        <v/>
      </c>
      <c r="B6" s="46">
        <f>'Portfolio &amp; Rebalancing'!B7</f>
        <v/>
      </c>
      <c r="C6" s="47">
        <f>'Portfolio &amp; Rebalancing'!F7</f>
        <v/>
      </c>
      <c r="D6" s="48">
        <f>'Portfolio &amp; Rebalancing'!E7</f>
        <v/>
      </c>
      <c r="E6" s="47">
        <f>C6*D6</f>
        <v/>
      </c>
    </row>
    <row r="7">
      <c r="A7" s="45">
        <f>'Portfolio &amp; Rebalancing'!A8</f>
        <v/>
      </c>
      <c r="B7" s="46">
        <f>'Portfolio &amp; Rebalancing'!B8</f>
        <v/>
      </c>
      <c r="C7" s="47">
        <f>'Portfolio &amp; Rebalancing'!F8</f>
        <v/>
      </c>
      <c r="D7" s="48">
        <f>'Portfolio &amp; Rebalancing'!E8</f>
        <v/>
      </c>
      <c r="E7" s="47">
        <f>C7*D7</f>
        <v/>
      </c>
    </row>
    <row r="8">
      <c r="A8" s="45">
        <f>'Portfolio &amp; Rebalancing'!A9</f>
        <v/>
      </c>
      <c r="B8" s="46">
        <f>'Portfolio &amp; Rebalancing'!B9</f>
        <v/>
      </c>
      <c r="C8" s="47">
        <f>'Portfolio &amp; Rebalancing'!F9</f>
        <v/>
      </c>
      <c r="D8" s="48">
        <f>'Portfolio &amp; Rebalancing'!E9</f>
        <v/>
      </c>
      <c r="E8" s="47">
        <f>C8*D8</f>
        <v/>
      </c>
    </row>
    <row r="9">
      <c r="A9" s="45">
        <f>'Portfolio &amp; Rebalancing'!A10</f>
        <v/>
      </c>
      <c r="B9" s="46">
        <f>'Portfolio &amp; Rebalancing'!B10</f>
        <v/>
      </c>
      <c r="C9" s="47">
        <f>'Portfolio &amp; Rebalancing'!F10</f>
        <v/>
      </c>
      <c r="D9" s="48">
        <f>'Portfolio &amp; Rebalancing'!E10</f>
        <v/>
      </c>
      <c r="E9" s="47">
        <f>C9*D9</f>
        <v/>
      </c>
    </row>
    <row r="10">
      <c r="A10" s="45">
        <f>'Portfolio &amp; Rebalancing'!A11</f>
        <v/>
      </c>
      <c r="B10" s="46">
        <f>'Portfolio &amp; Rebalancing'!B11</f>
        <v/>
      </c>
      <c r="C10" s="47">
        <f>'Portfolio &amp; Rebalancing'!F11</f>
        <v/>
      </c>
      <c r="D10" s="48">
        <f>'Portfolio &amp; Rebalancing'!E11</f>
        <v/>
      </c>
      <c r="E10" s="47">
        <f>C10*D10</f>
        <v/>
      </c>
    </row>
    <row r="11">
      <c r="A11" s="45">
        <f>'Portfolio &amp; Rebalancing'!A12</f>
        <v/>
      </c>
      <c r="B11" s="46">
        <f>'Portfolio &amp; Rebalancing'!B12</f>
        <v/>
      </c>
      <c r="C11" s="47">
        <f>'Portfolio &amp; Rebalancing'!F12</f>
        <v/>
      </c>
      <c r="D11" s="48">
        <f>'Portfolio &amp; Rebalancing'!E12</f>
        <v/>
      </c>
      <c r="E11" s="47">
        <f>C11*D11</f>
        <v/>
      </c>
    </row>
    <row r="12">
      <c r="A12" s="45">
        <f>'Portfolio &amp; Rebalancing'!A13</f>
        <v/>
      </c>
      <c r="B12" s="46">
        <f>'Portfolio &amp; Rebalancing'!B13</f>
        <v/>
      </c>
      <c r="C12" s="47">
        <f>'Portfolio &amp; Rebalancing'!F13</f>
        <v/>
      </c>
      <c r="D12" s="48">
        <f>'Portfolio &amp; Rebalancing'!E13</f>
        <v/>
      </c>
      <c r="E12" s="47">
        <f>C12*D12</f>
        <v/>
      </c>
    </row>
    <row r="13">
      <c r="A13" s="45">
        <f>'Portfolio &amp; Rebalancing'!A14</f>
        <v/>
      </c>
      <c r="B13" s="46">
        <f>'Portfolio &amp; Rebalancing'!B14</f>
        <v/>
      </c>
      <c r="C13" s="47">
        <f>'Portfolio &amp; Rebalancing'!F14</f>
        <v/>
      </c>
      <c r="D13" s="48">
        <f>'Portfolio &amp; Rebalancing'!E14</f>
        <v/>
      </c>
      <c r="E13" s="47">
        <f>C13*D13</f>
        <v/>
      </c>
    </row>
    <row r="14">
      <c r="A14" s="45">
        <f>'Portfolio &amp; Rebalancing'!A15</f>
        <v/>
      </c>
      <c r="B14" s="46">
        <f>'Portfolio &amp; Rebalancing'!B15</f>
        <v/>
      </c>
      <c r="C14" s="47">
        <f>'Portfolio &amp; Rebalancing'!F15</f>
        <v/>
      </c>
      <c r="D14" s="48">
        <f>'Portfolio &amp; Rebalancing'!E15</f>
        <v/>
      </c>
      <c r="E14" s="47">
        <f>C14*D14</f>
        <v/>
      </c>
    </row>
    <row r="15">
      <c r="A15" s="45">
        <f>'Portfolio &amp; Rebalancing'!A16</f>
        <v/>
      </c>
      <c r="B15" s="46">
        <f>'Portfolio &amp; Rebalancing'!B16</f>
        <v/>
      </c>
      <c r="C15" s="47">
        <f>'Portfolio &amp; Rebalancing'!F16</f>
        <v/>
      </c>
      <c r="D15" s="48">
        <f>'Portfolio &amp; Rebalancing'!E16</f>
        <v/>
      </c>
      <c r="E15" s="47">
        <f>C15*D15</f>
        <v/>
      </c>
    </row>
    <row r="16">
      <c r="A16" s="45">
        <f>'Portfolio &amp; Rebalancing'!A17</f>
        <v/>
      </c>
      <c r="B16" s="46">
        <f>'Portfolio &amp; Rebalancing'!B17</f>
        <v/>
      </c>
      <c r="C16" s="47">
        <f>'Portfolio &amp; Rebalancing'!F17</f>
        <v/>
      </c>
      <c r="D16" s="48">
        <f>'Portfolio &amp; Rebalancing'!E17</f>
        <v/>
      </c>
      <c r="E16" s="47">
        <f>C16*D16</f>
        <v/>
      </c>
    </row>
    <row r="17">
      <c r="A17" s="45">
        <f>'Portfolio &amp; Rebalancing'!A18</f>
        <v/>
      </c>
      <c r="B17" s="46">
        <f>'Portfolio &amp; Rebalancing'!B18</f>
        <v/>
      </c>
      <c r="C17" s="47">
        <f>'Portfolio &amp; Rebalancing'!F18</f>
        <v/>
      </c>
      <c r="D17" s="48">
        <f>'Portfolio &amp; Rebalancing'!E18</f>
        <v/>
      </c>
      <c r="E17" s="47">
        <f>C17*D17</f>
        <v/>
      </c>
    </row>
    <row r="18">
      <c r="A18" s="45">
        <f>'Portfolio &amp; Rebalancing'!A19</f>
        <v/>
      </c>
      <c r="B18" s="46">
        <f>'Portfolio &amp; Rebalancing'!B19</f>
        <v/>
      </c>
      <c r="C18" s="47">
        <f>'Portfolio &amp; Rebalancing'!F19</f>
        <v/>
      </c>
      <c r="D18" s="48">
        <f>'Portfolio &amp; Rebalancing'!E19</f>
        <v/>
      </c>
      <c r="E18" s="47">
        <f>C18*D18</f>
        <v/>
      </c>
    </row>
    <row r="19">
      <c r="A19" s="45">
        <f>'Portfolio &amp; Rebalancing'!A20</f>
        <v/>
      </c>
      <c r="B19" s="46">
        <f>'Portfolio &amp; Rebalancing'!B20</f>
        <v/>
      </c>
      <c r="C19" s="47">
        <f>'Portfolio &amp; Rebalancing'!F20</f>
        <v/>
      </c>
      <c r="D19" s="48">
        <f>'Portfolio &amp; Rebalancing'!E20</f>
        <v/>
      </c>
      <c r="E19" s="47">
        <f>C19*D19</f>
        <v/>
      </c>
    </row>
    <row r="20">
      <c r="A20" s="49" t="inlineStr">
        <is>
          <t>GESAMT</t>
        </is>
      </c>
      <c r="C20" s="50">
        <f>'Portfolio &amp; Rebalancing'!F21</f>
        <v/>
      </c>
      <c r="E20" s="50">
        <f>SUM(E4:E19)</f>
        <v/>
      </c>
    </row>
    <row r="22">
      <c r="A22" s="49" t="inlineStr">
        <is>
          <t>US-Anteil (Ist)</t>
        </is>
      </c>
      <c r="B22" s="51">
        <f>IF('Portfolio &amp; Rebalancing'!F25=0,0,E20/'Portfolio &amp; Rebalancing'!F25)</f>
        <v/>
      </c>
    </row>
    <row r="23">
      <c r="A23" s="49" t="inlineStr">
        <is>
          <t>US-Anteil (Ziel)</t>
        </is>
      </c>
      <c r="B23" s="51">
        <f>SUMPRODUCT('Portfolio &amp; Rebalancing'!$E$5:$E$20,'Portfolio &amp; Rebalancing'!$I$5:$I$20)/SUM('Portfolio &amp; Rebalancing'!$I$5:$I$20)</f>
        <v/>
      </c>
    </row>
    <row r="24">
      <c r="A24" s="49" t="inlineStr">
        <is>
          <t>US-Hard-Cap</t>
        </is>
      </c>
      <c r="B24" s="52">
        <f>'Parameter &amp; Regeln'!B11</f>
        <v/>
      </c>
    </row>
    <row r="25">
      <c r="A25" s="49" t="inlineStr">
        <is>
          <t>Status (Ist)</t>
        </is>
      </c>
      <c r="B25" s="49">
        <f>IF(B22&gt;B24,"⛔ ÜBER CAP","✅ OK")</f>
        <v/>
      </c>
    </row>
    <row r="26">
      <c r="A26" s="49" t="inlineStr">
        <is>
          <t>Status (Ziel)</t>
        </is>
      </c>
      <c r="B26" s="49">
        <f>IF(B23&gt;B24,"⛔ ZIEL ÜBER CAP","✅ Ziel 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H27" sqref="H27"/>
    </sheetView>
  </sheetViews>
  <sheetFormatPr baseColWidth="10" defaultColWidth="9.140625" defaultRowHeight="15"/>
  <cols>
    <col width="44.85546875" customWidth="1" style="70" min="1" max="1"/>
    <col width="27.7109375" customWidth="1" style="70" min="2" max="2"/>
    <col width="37.42578125" customWidth="1" style="70" min="3" max="3"/>
  </cols>
  <sheetData>
    <row r="1" ht="18.75" customHeight="1" s="70">
      <c r="A1" s="43" t="inlineStr">
        <is>
          <t>⚙️ REBALANCING PARAMETER</t>
        </is>
      </c>
    </row>
    <row r="3">
      <c r="A3" s="44" t="inlineStr">
        <is>
          <t>Parameter</t>
        </is>
      </c>
      <c r="B3" s="44" t="inlineStr">
        <is>
          <t>Wert</t>
        </is>
      </c>
      <c r="C3" s="44" t="inlineStr">
        <is>
          <t>Einheit</t>
        </is>
      </c>
    </row>
    <row r="4">
      <c r="A4" s="45" t="inlineStr">
        <is>
          <t>Sparrate monatlich</t>
        </is>
      </c>
      <c r="B4" s="53" t="n">
        <v>950</v>
      </c>
      <c r="C4" s="54" t="inlineStr">
        <is>
          <t>€</t>
        </is>
      </c>
    </row>
    <row r="5">
      <c r="A5" s="45" t="inlineStr">
        <is>
          <t>ETF-Core Zielanteil</t>
        </is>
      </c>
      <c r="B5" s="55" t="n">
        <v>0.65</v>
      </c>
      <c r="C5" s="54" t="inlineStr">
        <is>
          <t>%</t>
        </is>
      </c>
    </row>
    <row r="6">
      <c r="A6" s="45" t="inlineStr">
        <is>
          <t>Satelliten Zielanteil</t>
        </is>
      </c>
      <c r="B6" s="55" t="n">
        <v>0.3</v>
      </c>
      <c r="C6" s="54" t="inlineStr">
        <is>
          <t>%</t>
        </is>
      </c>
    </row>
    <row r="7">
      <c r="A7" s="45" t="inlineStr">
        <is>
          <t>Gold Zielanteil</t>
        </is>
      </c>
      <c r="B7" s="55" t="n">
        <v>0.05</v>
      </c>
      <c r="C7" s="54" t="inlineStr">
        <is>
          <t>%</t>
        </is>
      </c>
    </row>
    <row r="8">
      <c r="A8" s="45" t="inlineStr">
        <is>
          <t>Drift-Toleranz ETF/Gold</t>
        </is>
      </c>
      <c r="B8" s="56" t="n">
        <v>0.015</v>
      </c>
      <c r="C8" s="54" t="inlineStr">
        <is>
          <t>%</t>
        </is>
      </c>
    </row>
    <row r="9">
      <c r="A9" s="45" t="inlineStr">
        <is>
          <t>Drift-Toleranz Aktien</t>
        </is>
      </c>
      <c r="B9" s="56" t="n">
        <v>0.04</v>
      </c>
      <c r="C9" s="54" t="inlineStr">
        <is>
          <t>%</t>
        </is>
      </c>
    </row>
    <row r="10">
      <c r="A10" s="45" t="inlineStr">
        <is>
          <t>Single-Stock-Cap</t>
        </is>
      </c>
      <c r="B10" s="55" t="n">
        <v>0.1</v>
      </c>
      <c r="C10" s="54" t="inlineStr">
        <is>
          <t>%</t>
        </is>
      </c>
    </row>
    <row r="11">
      <c r="A11" s="45" t="inlineStr">
        <is>
          <t>US-Hard-Cap</t>
        </is>
      </c>
      <c r="B11" s="55" t="n">
        <v>0.63</v>
      </c>
      <c r="C11" s="54" t="inlineStr">
        <is>
          <t>%</t>
        </is>
      </c>
    </row>
    <row r="12">
      <c r="A12" s="45" t="inlineStr">
        <is>
          <t>Max Aktien Slots</t>
        </is>
      </c>
      <c r="B12" s="54" t="n">
        <v>11</v>
      </c>
    </row>
    <row r="13">
      <c r="A13" s="45" t="inlineStr">
        <is>
          <t>Aktien-Slots belegt</t>
        </is>
      </c>
      <c r="B13" s="54">
        <f>COUNTIF('Portfolio &amp; Rebalancing'!C5:C20,"Aktie")</f>
        <v/>
      </c>
    </row>
    <row r="14">
      <c r="A14" s="45" t="inlineStr">
        <is>
          <t>Gesamt Positionen belegt</t>
        </is>
      </c>
      <c r="B14" s="57">
        <f>COUNTA('Portfolio &amp; Rebalancing'!A5:A20)</f>
        <v/>
      </c>
    </row>
    <row r="15">
      <c r="A15" s="45" t="inlineStr">
        <is>
          <t>Drift-Warnschwelle (Faktor × Toleranz → K rot)</t>
        </is>
      </c>
      <c r="B15" s="57" t="n">
        <v>3</v>
      </c>
      <c r="C15" s="54" t="inlineStr">
        <is>
          <t>×</t>
        </is>
      </c>
    </row>
    <row r="16">
      <c r="A16" s="45" t="inlineStr">
        <is>
          <t>Allokations-Check (Summe ETF+Sat+Gold)</t>
        </is>
      </c>
      <c r="B16" s="55">
        <f>B5+B6+B7</f>
        <v/>
      </c>
      <c r="C16" s="54" t="inlineStr">
        <is>
          <t>%</t>
        </is>
      </c>
    </row>
    <row r="17" ht="15.75" customHeight="1" s="70">
      <c r="A17" s="58" t="inlineStr">
        <is>
          <t>📋 REBALANCING-REGELN</t>
        </is>
      </c>
    </row>
    <row r="19">
      <c r="A19" s="59" t="inlineStr">
        <is>
          <t>Situation</t>
        </is>
      </c>
      <c r="B19" s="59" t="inlineStr">
        <is>
          <t>Bedeutung</t>
        </is>
      </c>
      <c r="C19" s="59" t="inlineStr">
        <is>
          <t>Aktion</t>
        </is>
      </c>
    </row>
    <row r="20">
      <c r="A20" s="45" t="inlineStr">
        <is>
          <t>Abweichung negativ (rot)</t>
        </is>
      </c>
      <c r="B20" s="54" t="inlineStr">
        <is>
          <t>Untergewicht</t>
        </is>
      </c>
      <c r="C20" s="54" t="inlineStr">
        <is>
          <t>📈 Sparrate erhöhen/starten</t>
        </is>
      </c>
    </row>
    <row r="21">
      <c r="A21" s="45" t="inlineStr">
        <is>
          <t>Abweichung positiv (gelb)</t>
        </is>
      </c>
      <c r="B21" s="54" t="inlineStr">
        <is>
          <t>Übergewicht</t>
        </is>
      </c>
      <c r="C21" s="54" t="inlineStr">
        <is>
          <t>📉 Sparrate stoppen/drosseln</t>
        </is>
      </c>
    </row>
    <row r="22">
      <c r="A22" s="45" t="inlineStr">
        <is>
          <t>Innerhalb Toleranz (grün)</t>
        </is>
      </c>
      <c r="B22" s="54" t="inlineStr">
        <is>
          <t>Gleichgewicht</t>
        </is>
      </c>
      <c r="C22" s="54" t="inlineStr">
        <is>
          <t>⚖️ Sparrate weiterführen</t>
        </is>
      </c>
    </row>
    <row r="23">
      <c r="A23" s="45" t="inlineStr">
        <is>
          <t>NIEMALS durch Verkauf rebalancen</t>
        </is>
      </c>
      <c r="B23" s="54" t="inlineStr">
        <is>
          <t>Steuer-Bremse</t>
        </is>
      </c>
      <c r="C23" s="54" t="inlineStr">
        <is>
          <t>Nur Sparplan umleiten</t>
        </is>
      </c>
    </row>
    <row r="25">
      <c r="A25" s="60" t="inlineStr">
        <is>
          <t>Satelliten-Budget / Monat</t>
        </is>
      </c>
      <c r="B25" s="67">
        <f>B4*B6</f>
        <v/>
      </c>
      <c r="C25" s="61" t="inlineStr">
        <is>
          <t>€</t>
        </is>
      </c>
    </row>
    <row r="26">
      <c r="A26" s="60" t="inlineStr">
        <is>
          <t>Aktive Aktien-Sparrate (D4/D3, kein 🔴 FLAG)</t>
        </is>
      </c>
      <c r="B26" s="62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/>
      </c>
    </row>
    <row r="27">
      <c r="A27" s="63" t="inlineStr">
        <is>
          <t>DEFCON-2-Sockelbetrag (% der vollen Rate)</t>
        </is>
      </c>
      <c r="B27" s="68" t="n">
        <v>0.5</v>
      </c>
      <c r="C27" s="66" t="inlineStr">
        <is>
          <t>%</t>
        </is>
      </c>
    </row>
    <row r="28">
      <c r="A28" s="64" t="inlineStr">
        <is>
          <t>📋 DEFCON-SPARRATEN-LOGIK</t>
        </is>
      </c>
    </row>
    <row r="29">
      <c r="A29" s="63" t="inlineStr">
        <is>
          <t>DEFCON 4 oder 3 (kein 🔴 FLAG)</t>
        </is>
      </c>
      <c r="B29" s="65" t="inlineStr">
        <is>
          <t>Volle Sparrate (Gewicht 1.0)</t>
        </is>
      </c>
      <c r="C29" s="63" t="inlineStr">
        <is>
          <t>Budget ÷ Σ Gewichte × 1.0</t>
        </is>
      </c>
    </row>
    <row r="30">
      <c r="A30" s="63" t="inlineStr">
        <is>
          <t>DEFCON 2 (kein 🔴 FLAG)</t>
        </is>
      </c>
      <c r="B30" s="65" t="inlineStr">
        <is>
          <t>50% Sockelbetrag (Gewicht 0.5)</t>
        </is>
      </c>
      <c r="C30" s="63" t="inlineStr">
        <is>
          <t>Budget ÷ Σ Gewichte × 0.5 — Position halten</t>
        </is>
      </c>
    </row>
    <row r="31">
      <c r="A31" s="63" t="inlineStr">
        <is>
          <t>DEFCON 1 (egal welcher FLAG)</t>
        </is>
      </c>
      <c r="B31" s="65" t="inlineStr">
        <is>
          <t>0 € – eingefroren</t>
        </is>
      </c>
      <c r="C31" s="63" t="inlineStr">
        <is>
          <t>Exit-Kandidat — Auswechslung prüfen</t>
        </is>
      </c>
    </row>
    <row r="32">
      <c r="A32" s="63" t="inlineStr">
        <is>
          <t>🔴 FLAG (egal welcher DEFCON)</t>
        </is>
      </c>
      <c r="B32" s="65" t="inlineStr">
        <is>
          <t>0 € – eingefroren</t>
        </is>
      </c>
      <c r="C32" s="63" t="inlineStr">
        <is>
          <t>🔴 FLAG überschreibt jeden Score</t>
        </is>
      </c>
    </row>
  </sheetData>
  <conditionalFormatting sqref="B16">
    <cfRule type="expression" priority="1" dxfId="1">
      <formula>B16=1</formula>
    </cfRule>
    <cfRule type="expression" priority="2" dxfId="0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2026-04-15T01:26:03Z</dcterms:created>
  <dcterms:modified xsi:type="dcterms:W3CDTF">2026-04-23T19:22:17Z</dcterms:modified>
  <cp:lastModifiedBy>Tobias Kowalski</cp:lastModifiedBy>
</cp:coreProperties>
</file>