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Portfolio &amp; Rebalancing" sheetId="1" state="visible" r:id="rId1"/>
    <sheet name="US-Exposure" sheetId="2" state="visible" r:id="rId2"/>
    <sheet name="Parameter &amp; Regel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E3700"/>
      </font>
      <fill>
        <patternFill>
          <bgColor rgb="FFFFCC88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workbookViewId="0">
      <selection activeCell="F21" sqref="F21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46130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511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2960.39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1002.95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955.6799999999999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1001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388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453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✅ Clean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333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(59)</t>
        </is>
      </c>
      <c r="O12" s="15" t="inlineStr">
        <is>
          <t>🔴 FLAG: CapEx/OCF &gt;60% | Score 59 | DEFCON 2 | Re-Check 29.04.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346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396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302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390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392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427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(63)</t>
        </is>
      </c>
      <c r="O18" s="15" t="inlineStr">
        <is>
          <t>🟠 DEFCON 2 (63) | Forward 18.04. nach Advisor-Review | Q2 FY26 28.04.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270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2 (64)</t>
        </is>
      </c>
      <c r="O19" s="21" t="inlineStr">
        <is>
          <t>🟠 DEFCON 2 (64) | fcf_trend_neg Disclosure (Option B, WC-Noise) | Q1 23.04.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292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(63)</t>
        </is>
      </c>
      <c r="O20" s="15" t="inlineStr">
        <is>
          <t>🔴 FLAG: Score 63 (DEFCON 2 seit 18.04.) | Tariff-Check: CN 14.7% Risk-Map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1550.53</v>
      </c>
    </row>
    <row r="24" ht="16.5" customHeight="1" s="70">
      <c r="A24" s="39" t="inlineStr">
        <is>
          <t>📝 Neuinvestition (manuell eingeben)</t>
        </is>
      </c>
      <c r="F24" s="40" t="n">
        <v>1450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5">
      <formula>NOT(ISERROR(SEARCH("Reduzieren",L5)))</formula>
    </cfRule>
    <cfRule type="expression" priority="3" dxfId="12">
      <formula>NOT(ISERROR(SEARCH("Aufstocken",L5)))</formula>
    </cfRule>
    <cfRule type="expression" priority="4" dxfId="11">
      <formula>NOT(ISERROR(SEARCH("Halten",L5)))</formula>
    </cfRule>
  </conditionalFormatting>
  <conditionalFormatting sqref="M5:M20">
    <cfRule type="expression" priority="5" dxfId="12">
      <formula>NOT(ISERROR(SEARCH("ÜBER CAP",M5)))</formula>
    </cfRule>
    <cfRule type="expression" priority="6" dxfId="11">
      <formula>NOT(ISERROR(SEARCH("OK",M5)))</formula>
    </cfRule>
  </conditionalFormatting>
  <conditionalFormatting sqref="N5:N20">
    <cfRule type="expression" priority="7" dxfId="6">
      <formula>LEFT(N5,8)="DEFCON 4"</formula>
    </cfRule>
    <cfRule type="expression" priority="8" dxfId="4">
      <formula>LEFT(N5,8)="DEFCON 3"</formula>
    </cfRule>
    <cfRule type="expression" priority="9" dxfId="8">
      <formula>LEFT(N5,8)="DEFCON 2"</formula>
    </cfRule>
    <cfRule type="expression" priority="10" dxfId="3">
      <formula>LEFT(N5,8)="DEFCON 1"</formula>
    </cfRule>
  </conditionalFormatting>
  <conditionalFormatting sqref="O5:O20">
    <cfRule type="expression" priority="11" dxfId="6">
      <formula>O5="✅ Clean"</formula>
    </cfRule>
    <cfRule type="expression" priority="12" dxfId="4">
      <formula>LEFT(O5,1)="🟡"</formula>
    </cfRule>
    <cfRule type="expression" priority="13" dxfId="4">
      <formula>LEFT(O5,2)="🚩"</formula>
    </cfRule>
    <cfRule type="expression" priority="14" dxfId="3">
      <formula>LEFT(O5,2)="🔴"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H27" sqref="H27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7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3" t="inlineStr">
        <is>
          <t>DEFCON-2-Sockelbetrag (% der vollen Rate)</t>
        </is>
      </c>
      <c r="B27" s="68" t="n">
        <v>0.5</v>
      </c>
      <c r="C27" s="66" t="inlineStr">
        <is>
          <t>%</t>
        </is>
      </c>
    </row>
    <row r="28">
      <c r="A28" s="64" t="inlineStr">
        <is>
          <t>📋 DEFCON-SPARRATEN-LOGIK</t>
        </is>
      </c>
    </row>
    <row r="29">
      <c r="A29" s="63" t="inlineStr">
        <is>
          <t>DEFCON 4 oder 3 (kein 🔴 FLAG)</t>
        </is>
      </c>
      <c r="B29" s="65" t="inlineStr">
        <is>
          <t>Volle Sparrate (Gewicht 1.0)</t>
        </is>
      </c>
      <c r="C29" s="63" t="inlineStr">
        <is>
          <t>Budget ÷ Σ Gewichte × 1.0</t>
        </is>
      </c>
    </row>
    <row r="30">
      <c r="A30" s="63" t="inlineStr">
        <is>
          <t>DEFCON 2 (kein 🔴 FLAG)</t>
        </is>
      </c>
      <c r="B30" s="65" t="inlineStr">
        <is>
          <t>50% Sockelbetrag (Gewicht 0.5)</t>
        </is>
      </c>
      <c r="C30" s="63" t="inlineStr">
        <is>
          <t>Budget ÷ Σ Gewichte × 0.5 — Position halten</t>
        </is>
      </c>
    </row>
    <row r="31">
      <c r="A31" s="63" t="inlineStr">
        <is>
          <t>DEFCON 1 (egal welcher FLAG)</t>
        </is>
      </c>
      <c r="B31" s="65" t="inlineStr">
        <is>
          <t>0 € – eingefroren</t>
        </is>
      </c>
      <c r="C31" s="63" t="inlineStr">
        <is>
          <t>Exit-Kandidat — Auswechslung prüfen</t>
        </is>
      </c>
    </row>
    <row r="32">
      <c r="A32" s="63" t="inlineStr">
        <is>
          <t>🔴 FLAG (egal welcher DEFCON)</t>
        </is>
      </c>
      <c r="B32" s="65" t="inlineStr">
        <is>
          <t>0 € – eingefroren</t>
        </is>
      </c>
      <c r="C32" s="63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2026-04-15T01:26:03Z</dcterms:created>
  <dcterms:modified xsi:type="dcterms:W3CDTF">2026-04-18T16:08:19Z</dcterms:modified>
  <cp:lastModifiedBy>Tobias Kowalski</cp:lastModifiedBy>
</cp:coreProperties>
</file>