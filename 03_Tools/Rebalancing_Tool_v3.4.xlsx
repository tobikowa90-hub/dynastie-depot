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bia\OneDrive\Desktop\Claude Stuff\03_Tools\"/>
    </mc:Choice>
  </mc:AlternateContent>
  <xr:revisionPtr revIDLastSave="0" documentId="13_ncr:1_{E59FF7EA-2373-4173-8164-449484EA10F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rtfolio &amp; Rebalancing" sheetId="1" r:id="rId1"/>
    <sheet name="US-Exposure" sheetId="2" r:id="rId2"/>
    <sheet name="Parameter &amp; Regel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  <c r="B25" i="3"/>
  <c r="B16" i="3"/>
  <c r="B14" i="3"/>
  <c r="B13" i="3"/>
  <c r="B24" i="2"/>
  <c r="D19" i="2"/>
  <c r="C19" i="2"/>
  <c r="E19" i="2" s="1"/>
  <c r="B19" i="2"/>
  <c r="A19" i="2"/>
  <c r="D18" i="2"/>
  <c r="C18" i="2"/>
  <c r="B18" i="2"/>
  <c r="A18" i="2"/>
  <c r="E17" i="2"/>
  <c r="D17" i="2"/>
  <c r="C17" i="2"/>
  <c r="B17" i="2"/>
  <c r="A17" i="2"/>
  <c r="D16" i="2"/>
  <c r="C16" i="2"/>
  <c r="E16" i="2" s="1"/>
  <c r="B16" i="2"/>
  <c r="A16" i="2"/>
  <c r="D15" i="2"/>
  <c r="C15" i="2"/>
  <c r="E15" i="2" s="1"/>
  <c r="B15" i="2"/>
  <c r="A15" i="2"/>
  <c r="D14" i="2"/>
  <c r="C14" i="2"/>
  <c r="B14" i="2"/>
  <c r="A14" i="2"/>
  <c r="E13" i="2"/>
  <c r="D13" i="2"/>
  <c r="C13" i="2"/>
  <c r="B13" i="2"/>
  <c r="A13" i="2"/>
  <c r="D12" i="2"/>
  <c r="C12" i="2"/>
  <c r="B12" i="2"/>
  <c r="A12" i="2"/>
  <c r="D11" i="2"/>
  <c r="C11" i="2"/>
  <c r="E11" i="2" s="1"/>
  <c r="B11" i="2"/>
  <c r="A11" i="2"/>
  <c r="D10" i="2"/>
  <c r="C10" i="2"/>
  <c r="E10" i="2" s="1"/>
  <c r="B10" i="2"/>
  <c r="A10" i="2"/>
  <c r="D9" i="2"/>
  <c r="C9" i="2"/>
  <c r="E9" i="2" s="1"/>
  <c r="B9" i="2"/>
  <c r="A9" i="2"/>
  <c r="D8" i="2"/>
  <c r="C8" i="2"/>
  <c r="E8" i="2" s="1"/>
  <c r="B8" i="2"/>
  <c r="A8" i="2"/>
  <c r="D7" i="2"/>
  <c r="C7" i="2"/>
  <c r="E7" i="2" s="1"/>
  <c r="B7" i="2"/>
  <c r="A7" i="2"/>
  <c r="D6" i="2"/>
  <c r="C6" i="2"/>
  <c r="E6" i="2" s="1"/>
  <c r="B6" i="2"/>
  <c r="A6" i="2"/>
  <c r="D5" i="2"/>
  <c r="C5" i="2"/>
  <c r="E5" i="2" s="1"/>
  <c r="B5" i="2"/>
  <c r="A5" i="2"/>
  <c r="D4" i="2"/>
  <c r="C4" i="2"/>
  <c r="E4" i="2" s="1"/>
  <c r="B4" i="2"/>
  <c r="A4" i="2"/>
  <c r="O21" i="1"/>
  <c r="N21" i="1"/>
  <c r="H21" i="1"/>
  <c r="F21" i="1"/>
  <c r="C20" i="2" s="1"/>
  <c r="P20" i="1"/>
  <c r="J20" i="1"/>
  <c r="P19" i="1"/>
  <c r="P18" i="1"/>
  <c r="P17" i="1"/>
  <c r="P16" i="1"/>
  <c r="P15" i="1"/>
  <c r="P14" i="1"/>
  <c r="P13" i="1"/>
  <c r="P12" i="1"/>
  <c r="J12" i="1" s="1"/>
  <c r="P11" i="1"/>
  <c r="J11" i="1"/>
  <c r="P10" i="1"/>
  <c r="P9" i="1"/>
  <c r="M9" i="1"/>
  <c r="P8" i="1"/>
  <c r="M8" i="1"/>
  <c r="P7" i="1"/>
  <c r="M7" i="1"/>
  <c r="P6" i="1"/>
  <c r="M6" i="1"/>
  <c r="P5" i="1"/>
  <c r="M5" i="1"/>
  <c r="E18" i="2" l="1"/>
  <c r="E12" i="2"/>
  <c r="E14" i="2"/>
  <c r="E20" i="2" s="1"/>
  <c r="P21" i="1"/>
  <c r="M22" i="1"/>
  <c r="F25" i="1"/>
  <c r="I15" i="1" l="1"/>
  <c r="J15" i="1" s="1"/>
  <c r="G8" i="1"/>
  <c r="K8" i="1" s="1"/>
  <c r="L8" i="1" s="1"/>
  <c r="G15" i="1"/>
  <c r="I8" i="1"/>
  <c r="J8" i="1" s="1"/>
  <c r="I17" i="1"/>
  <c r="J17" i="1" s="1"/>
  <c r="G17" i="1"/>
  <c r="I10" i="1"/>
  <c r="J10" i="1" s="1"/>
  <c r="I19" i="1"/>
  <c r="J19" i="1" s="1"/>
  <c r="G19" i="1"/>
  <c r="I12" i="1"/>
  <c r="G12" i="1"/>
  <c r="I5" i="1"/>
  <c r="G6" i="1"/>
  <c r="K6" i="1" s="1"/>
  <c r="L6" i="1" s="1"/>
  <c r="B22" i="2"/>
  <c r="B25" i="2" s="1"/>
  <c r="I14" i="1"/>
  <c r="J14" i="1" s="1"/>
  <c r="G5" i="1"/>
  <c r="G9" i="1"/>
  <c r="K9" i="1" s="1"/>
  <c r="L9" i="1" s="1"/>
  <c r="G18" i="1"/>
  <c r="I11" i="1"/>
  <c r="G14" i="1"/>
  <c r="I7" i="1"/>
  <c r="J7" i="1" s="1"/>
  <c r="G7" i="1"/>
  <c r="K7" i="1" s="1"/>
  <c r="L7" i="1" s="1"/>
  <c r="G16" i="1"/>
  <c r="I9" i="1"/>
  <c r="J9" i="1" s="1"/>
  <c r="I16" i="1"/>
  <c r="J16" i="1" s="1"/>
  <c r="G11" i="1"/>
  <c r="G20" i="1"/>
  <c r="I13" i="1"/>
  <c r="J13" i="1" s="1"/>
  <c r="I18" i="1"/>
  <c r="J18" i="1" s="1"/>
  <c r="G13" i="1"/>
  <c r="I6" i="1"/>
  <c r="J6" i="1" s="1"/>
  <c r="G10" i="1"/>
  <c r="I20" i="1"/>
  <c r="M18" i="1" l="1"/>
  <c r="K18" i="1"/>
  <c r="L18" i="1" s="1"/>
  <c r="K10" i="1"/>
  <c r="L10" i="1" s="1"/>
  <c r="M10" i="1"/>
  <c r="K13" i="1"/>
  <c r="L13" i="1" s="1"/>
  <c r="M13" i="1"/>
  <c r="K5" i="1"/>
  <c r="G21" i="1"/>
  <c r="M11" i="1"/>
  <c r="K11" i="1"/>
  <c r="L11" i="1" s="1"/>
  <c r="I21" i="1"/>
  <c r="J5" i="1"/>
  <c r="B23" i="2"/>
  <c r="B26" i="2" s="1"/>
  <c r="M20" i="1"/>
  <c r="K20" i="1"/>
  <c r="L20" i="1" s="1"/>
  <c r="M12" i="1"/>
  <c r="K12" i="1"/>
  <c r="L12" i="1" s="1"/>
  <c r="K19" i="1"/>
  <c r="L19" i="1" s="1"/>
  <c r="M19" i="1"/>
  <c r="M16" i="1"/>
  <c r="K16" i="1"/>
  <c r="L16" i="1" s="1"/>
  <c r="K17" i="1"/>
  <c r="L17" i="1" s="1"/>
  <c r="M17" i="1"/>
  <c r="M14" i="1"/>
  <c r="K14" i="1"/>
  <c r="L14" i="1" s="1"/>
  <c r="M15" i="1"/>
  <c r="K15" i="1"/>
  <c r="L15" i="1" s="1"/>
  <c r="J21" i="1" l="1"/>
  <c r="F26" i="1"/>
  <c r="K21" i="1"/>
  <c r="L5" i="1"/>
  <c r="K22" i="1"/>
  <c r="M21" i="1"/>
</calcChain>
</file>

<file path=xl/sharedStrings.xml><?xml version="1.0" encoding="utf-8"?>
<sst xmlns="http://schemas.openxmlformats.org/spreadsheetml/2006/main" count="186" uniqueCount="142">
  <si>
    <t>🦅 DYNASTIE-DEPOT – Rebalancing Tool v3.4</t>
  </si>
  <si>
    <t>Position</t>
  </si>
  <si>
    <t>Ticker</t>
  </si>
  <si>
    <t>Typ</t>
  </si>
  <si>
    <t>Broker</t>
  </si>
  <si>
    <t>US-
Faktor</t>
  </si>
  <si>
    <t>Depotwert
€</t>
  </si>
  <si>
    <t>Ist-
Anteil %</t>
  </si>
  <si>
    <t>Ziel-
Anteil %</t>
  </si>
  <si>
    <t>Zielwert
€</t>
  </si>
  <si>
    <t>Fehlbetrag
€</t>
  </si>
  <si>
    <t>Abw.
%</t>
  </si>
  <si>
    <t>Aktion</t>
  </si>
  <si>
    <t>⚠️ Cap-
Check</t>
  </si>
  <si>
    <t>DEFCON
Score</t>
  </si>
  <si>
    <t>🚩 FLAG-Status</t>
  </si>
  <si>
    <t>💶 Sparrate
€/Monat</t>
  </si>
  <si>
    <t>EUWAX Gold</t>
  </si>
  <si>
    <t>EWG2</t>
  </si>
  <si>
    <t>Gold</t>
  </si>
  <si>
    <t>Scalable</t>
  </si>
  <si>
    <t>iShares MSCI World</t>
  </si>
  <si>
    <t>IWDA</t>
  </si>
  <si>
    <t>ETF</t>
  </si>
  <si>
    <t>ING</t>
  </si>
  <si>
    <t>iShares MSCI EM IMI</t>
  </si>
  <si>
    <t>EIMI</t>
  </si>
  <si>
    <t>MSCI World ex-USA</t>
  </si>
  <si>
    <t>EXUSA</t>
  </si>
  <si>
    <t>Avantis Small Cap Value</t>
  </si>
  <si>
    <t>AVGC</t>
  </si>
  <si>
    <t>ASML Holding</t>
  </si>
  <si>
    <t>ASML</t>
  </si>
  <si>
    <t>Aktie</t>
  </si>
  <si>
    <t>DEFCON 3 (68)</t>
  </si>
  <si>
    <t>🟡 DEFCON 3 (68) | China Rev 14.7% Risk-Map</t>
  </si>
  <si>
    <t>Broadcom</t>
  </si>
  <si>
    <t>AVGO</t>
  </si>
  <si>
    <t>DEFCON 2 (53) | Vollanalyse 30.04.</t>
  </si>
  <si>
    <t>🔴 FLAG: Insider-Selling 90d $106M+ | Aktiviert 27.04.2026 | Vollanalyse 30.04. Score 84→53 (D4→D2) | Re-Eval Q3 FY26</t>
  </si>
  <si>
    <t>Microsoft</t>
  </si>
  <si>
    <t>MSFT</t>
  </si>
  <si>
    <t>DEFCON 2 (50)</t>
  </si>
  <si>
    <t>🔴 FLAG: CapEx/OCF aktiv | Score 50 | DEFCON 2 | Bull-Case Trigger B FAIL (CY26 $190B) | Re-Check Q4 FY26 ~Juli</t>
  </si>
  <si>
    <t>Costco</t>
  </si>
  <si>
    <t>COST</t>
  </si>
  <si>
    <t>DEFCON 3 (69) | MY 15.2% &gt; WACC</t>
  </si>
  <si>
    <t>✅ Clean</t>
  </si>
  <si>
    <t>Hermès</t>
  </si>
  <si>
    <t>RMS</t>
  </si>
  <si>
    <t>DEFCON 3 (68) | Q1 Miss: −8.4% | Moat intakt</t>
  </si>
  <si>
    <t>✅ Clean | Re-Analyse 17.04.2026 v3.7</t>
  </si>
  <si>
    <t>Veeva Systems</t>
  </si>
  <si>
    <t>VEEV</t>
  </si>
  <si>
    <t>DEFCON 3 (74)</t>
  </si>
  <si>
    <t>Schneider Electric</t>
  </si>
  <si>
    <t>SU</t>
  </si>
  <si>
    <t>DEFCON 3 (69)</t>
  </si>
  <si>
    <t>Berkshire Hathaway</t>
  </si>
  <si>
    <t>BRK.B</t>
  </si>
  <si>
    <t>DEFCON 3 (71) | Abel Käufe $15.3M</t>
  </si>
  <si>
    <t>Visa</t>
  </si>
  <si>
    <t>V</t>
  </si>
  <si>
    <t>DEFCON 2 (64)</t>
  </si>
  <si>
    <t>🟠 DEFCON 2 (64) | Q2 Beat-Cascade D3 (mittags) → Codex-Review-Revert D2 (spätabends, HIGH-1+2 28.04.) | Q3 ~Ende Juli ROIC-Verify</t>
  </si>
  <si>
    <t>Thermo Fisher</t>
  </si>
  <si>
    <t>TMO</t>
  </si>
  <si>
    <t>DEFCON 3 (67)</t>
  </si>
  <si>
    <t>🟡 DEFCON 3 (67) | fcf_trend_neg Resolve (Q1 WC-Unwind bestätigt) | Q2 ~Ende Juli</t>
  </si>
  <si>
    <t>Amphenol</t>
  </si>
  <si>
    <t>APH</t>
  </si>
  <si>
    <t>DEFCON 2 (61)</t>
  </si>
  <si>
    <t>🔴 FLAG: Score 61 (DEFCON 2, Q1 FY26 Tag-+1 Vollanalyse 30.04.) | CommScope-NL 1,6x | China-Tax-ETR 27% strukturell</t>
  </si>
  <si>
    <t>📊 GESAMT</t>
  </si>
  <si>
    <t>Ø Drift ges.</t>
  </si>
  <si>
    <t>Ø ETF/Gold-Drift</t>
  </si>
  <si>
    <t>⚠️ DEFCON ≤ 3</t>
  </si>
  <si>
    <t>🚩 Aktive FLAGs</t>
  </si>
  <si>
    <t>Check: Sparrate gesamt</t>
  </si>
  <si>
    <t>Scalable Cash (verfügbar)</t>
  </si>
  <si>
    <t>📝 Neuinvestition (manuell eingeben)</t>
  </si>
  <si>
    <t>Gesamtwert nach Invest</t>
  </si>
  <si>
    <t>Noch zu überweisen (ING + Δ Scalable)</t>
  </si>
  <si>
    <t xml:space="preserve"> US-EXPOSURE TRACKER</t>
  </si>
  <si>
    <t>Depotwert €</t>
  </si>
  <si>
    <t>US-Faktor</t>
  </si>
  <si>
    <t>US-Anteil €</t>
  </si>
  <si>
    <t>GESAMT</t>
  </si>
  <si>
    <t>US-Anteil (Ist)</t>
  </si>
  <si>
    <t>US-Anteil (Ziel)</t>
  </si>
  <si>
    <t>US-Hard-Cap</t>
  </si>
  <si>
    <t>Status (Ist)</t>
  </si>
  <si>
    <t>Status (Ziel)</t>
  </si>
  <si>
    <t>⚙️ REBALANCING PARAMETER</t>
  </si>
  <si>
    <t>Parameter</t>
  </si>
  <si>
    <t>Wert</t>
  </si>
  <si>
    <t>Einheit</t>
  </si>
  <si>
    <t>Sparrate monatlich</t>
  </si>
  <si>
    <t>€</t>
  </si>
  <si>
    <t>ETF-Core Zielanteil</t>
  </si>
  <si>
    <t>%</t>
  </si>
  <si>
    <t>Satelliten Zielanteil</t>
  </si>
  <si>
    <t>Gold Zielanteil</t>
  </si>
  <si>
    <t>Drift-Toleranz ETF/Gold</t>
  </si>
  <si>
    <t>Drift-Toleranz Aktien</t>
  </si>
  <si>
    <t>Single-Stock-Cap</t>
  </si>
  <si>
    <t>Max Aktien Slots</t>
  </si>
  <si>
    <t>Aktien-Slots belegt</t>
  </si>
  <si>
    <t>Gesamt Positionen belegt</t>
  </si>
  <si>
    <t>Drift-Warnschwelle (Faktor × Toleranz → K rot)</t>
  </si>
  <si>
    <t>×</t>
  </si>
  <si>
    <t>Allokations-Check (Summe ETF+Sat+Gold)</t>
  </si>
  <si>
    <t>📋 REBALANCING-REGELN</t>
  </si>
  <si>
    <t>Situation</t>
  </si>
  <si>
    <t>Bedeutung</t>
  </si>
  <si>
    <t>Abweichung negativ (rot)</t>
  </si>
  <si>
    <t>Untergewicht</t>
  </si>
  <si>
    <t>📈 Sparrate erhöhen/starten</t>
  </si>
  <si>
    <t>Abweichung positiv (gelb)</t>
  </si>
  <si>
    <t>Übergewicht</t>
  </si>
  <si>
    <t>📉 Sparrate stoppen/drosseln</t>
  </si>
  <si>
    <t>Innerhalb Toleranz (grün)</t>
  </si>
  <si>
    <t>Gleichgewicht</t>
  </si>
  <si>
    <t>⚖️ Sparrate weiterführen</t>
  </si>
  <si>
    <t>NIEMALS durch Verkauf rebalancen</t>
  </si>
  <si>
    <t>Steuer-Bremse</t>
  </si>
  <si>
    <t>Nur Sparplan umleiten</t>
  </si>
  <si>
    <t>Satelliten-Budget / Monat</t>
  </si>
  <si>
    <t>Aktive Aktien-Sparrate (D4/D3, kein 🔴 FLAG)</t>
  </si>
  <si>
    <t>DEFCON-2-Sockelbetrag (% der vollen Rate)</t>
  </si>
  <si>
    <t>📋 DEFCON-SPARRATEN-LOGIK</t>
  </si>
  <si>
    <t>DEFCON 4 oder 3 (kein 🔴 FLAG)</t>
  </si>
  <si>
    <t>Volle Sparrate (Gewicht 1.0)</t>
  </si>
  <si>
    <t>Budget ÷ Σ Gewichte × 1.0</t>
  </si>
  <si>
    <t>DEFCON 2 (kein 🔴 FLAG)</t>
  </si>
  <si>
    <t>50% Sockelbetrag (Gewicht 0.5)</t>
  </si>
  <si>
    <t>Budget ÷ Σ Gewichte × 0.5 — Position halten</t>
  </si>
  <si>
    <t>DEFCON 1 (egal welcher FLAG)</t>
  </si>
  <si>
    <t>0 € – eingefroren</t>
  </si>
  <si>
    <t>Exit-Kandidat — Auswechslung prüfen</t>
  </si>
  <si>
    <t>🔴 FLAG (egal welcher DEFCON)</t>
  </si>
  <si>
    <t>🔴 FLAG überschreibt jeden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</si>
</sst>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€&quot;"/>
    <numFmt numFmtId="165" formatCode="#,##0.00&quot; €&quot;"/>
    <numFmt numFmtId="166" formatCode="0&quot; Positionen&quot;"/>
    <numFmt numFmtId="167" formatCode="m/d/yyyy"/>
  </numFmts>
  <fonts count="19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sz val="9"/>
      <color rgb="FF666666"/>
      <name val="Calibri"/>
    </font>
    <font>
      <b/>
      <sz val="9"/>
      <color rgb="FFFFFFFF"/>
      <name val="Calibri"/>
    </font>
    <font>
      <sz val="9.5"/>
      <color rgb="FF000000"/>
      <name val="Calibri"/>
    </font>
    <font>
      <b/>
      <sz val="9.5"/>
      <color rgb="FF1F3864"/>
      <name val="Calibri"/>
    </font>
    <font>
      <sz val="9"/>
      <color rgb="FF4472C4"/>
      <name val="Calibri"/>
    </font>
    <font>
      <b/>
      <sz val="9.5"/>
      <color rgb="FF2E4057"/>
      <name val="Calibri"/>
    </font>
    <font>
      <b/>
      <sz val="10"/>
      <name val="Calibri"/>
    </font>
    <font>
      <b/>
      <sz val="9.5"/>
      <color rgb="FFC00000"/>
      <name val="Calibri"/>
    </font>
    <font>
      <b/>
      <sz val="14"/>
      <color rgb="FF1E3A5F"/>
      <name val="Calibri"/>
    </font>
    <font>
      <b/>
      <sz val="10"/>
      <color rgb="FFFFFFFF"/>
      <name val="Calibri"/>
    </font>
    <font>
      <sz val="10"/>
      <name val="Calibri"/>
    </font>
    <font>
      <b/>
      <sz val="11"/>
      <name val="Calibri"/>
    </font>
    <font>
      <sz val="10"/>
      <color rgb="FF0000FF"/>
      <name val="Calibri"/>
    </font>
    <font>
      <b/>
      <sz val="12"/>
      <color rgb="FF1E3A5F"/>
      <name val="Calibri"/>
    </font>
    <font>
      <sz val="11"/>
      <color rgb="FF000000"/>
      <name val="Calibri"/>
    </font>
    <font>
      <sz val="11"/>
      <name val="Calibri"/>
    </font>
    <font>
      <b/>
      <sz val="9.5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FFF8E7"/>
      </patternFill>
    </fill>
    <fill>
      <patternFill patternType="solid">
        <fgColor rgb="FFF0F9F0"/>
      </patternFill>
    </fill>
    <fill>
      <patternFill patternType="solid">
        <fgColor rgb="FFFFFFFF"/>
      </patternFill>
    </fill>
    <fill>
      <patternFill patternType="solid">
        <fgColor rgb="FFF5F5FF"/>
      </patternFill>
    </fill>
    <fill>
      <patternFill patternType="solid">
        <fgColor rgb="FFD6E4F0"/>
      </patternFill>
    </fill>
    <fill>
      <patternFill patternType="solid">
        <fgColor rgb="FFF8FBFF"/>
      </patternFill>
    </fill>
    <fill>
      <patternFill patternType="solid">
        <fgColor rgb="FFFFFF00"/>
      </patternFill>
    </fill>
    <fill>
      <patternFill patternType="solid">
        <fgColor rgb="FF1E3A5F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10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2" fontId="4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right" vertical="center"/>
    </xf>
    <xf numFmtId="10" fontId="4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2" fontId="4" fillId="7" borderId="0" xfId="0" applyNumberFormat="1" applyFont="1" applyFill="1" applyAlignment="1">
      <alignment horizontal="right" vertical="center"/>
    </xf>
    <xf numFmtId="164" fontId="4" fillId="7" borderId="0" xfId="0" applyNumberFormat="1" applyFont="1" applyFill="1" applyAlignment="1">
      <alignment horizontal="right" vertical="center"/>
    </xf>
    <xf numFmtId="10" fontId="4" fillId="7" borderId="0" xfId="0" applyNumberFormat="1" applyFont="1" applyFill="1" applyAlignment="1">
      <alignment horizontal="right" vertical="center"/>
    </xf>
    <xf numFmtId="164" fontId="4" fillId="7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2" fontId="4" fillId="8" borderId="0" xfId="0" applyNumberFormat="1" applyFont="1" applyFill="1" applyAlignment="1">
      <alignment horizontal="right" vertical="center"/>
    </xf>
    <xf numFmtId="164" fontId="4" fillId="8" borderId="0" xfId="0" applyNumberFormat="1" applyFont="1" applyFill="1" applyAlignment="1">
      <alignment horizontal="right" vertical="center"/>
    </xf>
    <xf numFmtId="10" fontId="4" fillId="8" borderId="0" xfId="0" applyNumberFormat="1" applyFont="1" applyFill="1" applyAlignment="1">
      <alignment horizontal="right" vertical="center"/>
    </xf>
    <xf numFmtId="164" fontId="4" fillId="8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9" borderId="0" xfId="0" applyFont="1" applyFill="1"/>
    <xf numFmtId="164" fontId="5" fillId="9" borderId="0" xfId="0" applyNumberFormat="1" applyFont="1" applyFill="1" applyAlignment="1">
      <alignment horizontal="right" vertical="center"/>
    </xf>
    <xf numFmtId="10" fontId="5" fillId="9" borderId="0" xfId="0" applyNumberFormat="1" applyFont="1" applyFill="1" applyAlignment="1">
      <alignment horizontal="right" vertical="center"/>
    </xf>
    <xf numFmtId="164" fontId="5" fillId="9" borderId="0" xfId="0" applyNumberFormat="1" applyFont="1" applyFill="1" applyAlignment="1">
      <alignment horizontal="center" vertical="center"/>
    </xf>
    <xf numFmtId="1" fontId="5" fillId="9" borderId="0" xfId="0" applyNumberFormat="1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right" vertical="center"/>
    </xf>
    <xf numFmtId="0" fontId="7" fillId="10" borderId="0" xfId="0" applyFont="1" applyFill="1" applyAlignment="1">
      <alignment horizontal="left" vertical="center"/>
    </xf>
    <xf numFmtId="164" fontId="4" fillId="10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 vertical="center"/>
    </xf>
    <xf numFmtId="164" fontId="8" fillId="11" borderId="0" xfId="0" applyNumberFormat="1" applyFont="1" applyFill="1" applyAlignment="1">
      <alignment horizontal="right" vertical="center"/>
    </xf>
    <xf numFmtId="164" fontId="5" fillId="10" borderId="0" xfId="0" applyNumberFormat="1" applyFont="1" applyFill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10" fillId="0" borderId="0" xfId="0" applyFont="1"/>
    <xf numFmtId="0" fontId="11" fillId="1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0" fontId="8" fillId="0" borderId="0" xfId="0" applyFont="1"/>
    <xf numFmtId="165" fontId="13" fillId="0" borderId="0" xfId="0" applyNumberFormat="1" applyFont="1"/>
    <xf numFmtId="10" fontId="8" fillId="0" borderId="0" xfId="0" applyNumberFormat="1" applyFont="1"/>
    <xf numFmtId="9" fontId="14" fillId="0" borderId="0" xfId="0" applyNumberFormat="1" applyFont="1"/>
    <xf numFmtId="16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5" fillId="0" borderId="0" xfId="0" applyFont="1"/>
    <xf numFmtId="0" fontId="11" fillId="13" borderId="0" xfId="0" applyFont="1" applyFill="1" applyAlignment="1">
      <alignment horizontal="center" vertical="center"/>
    </xf>
    <xf numFmtId="0" fontId="13" fillId="0" borderId="0" xfId="0" applyFont="1"/>
    <xf numFmtId="0" fontId="17" fillId="0" borderId="0" xfId="0" applyFont="1" applyAlignment="1">
      <alignment horizontal="center"/>
    </xf>
    <xf numFmtId="0" fontId="4" fillId="0" borderId="0" xfId="0" applyFont="1"/>
    <xf numFmtId="0" fontId="11" fillId="13" borderId="0" xfId="0" applyFont="1" applyFill="1"/>
    <xf numFmtId="0" fontId="18" fillId="0" borderId="0" xfId="0" applyFont="1"/>
    <xf numFmtId="0" fontId="4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167" fontId="2" fillId="3" borderId="0" xfId="0" applyNumberFormat="1" applyFont="1" applyFill="1" applyAlignment="1">
      <alignment horizontal="left" vertical="center"/>
    </xf>
  </cellXfs>
  <cellStyles count="1">
    <cellStyle name="Standard" xfId="0" builtinId="0"/>
  </cellStyles>
  <dxfs count="1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AAAAAA"/>
      </font>
      <fill>
        <patternFill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43C0C"/>
      </font>
      <fill>
        <patternFill patternType="solid">
          <fgColor rgb="FFFCE4D6"/>
          <bgColor rgb="FFFCE4D6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43C0C"/>
      </font>
      <fill>
        <patternFill patternType="solid">
          <fgColor rgb="FFFCE4D6"/>
          <bgColor rgb="FFFCE4D6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7B0000"/>
      </font>
      <fill>
        <patternFill>
          <bgColor rgb="FFFF4C4C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7B0000"/>
      </font>
      <fill>
        <patternFill>
          <bgColor rgb="FFFF4C4C"/>
        </patternFill>
      </fill>
    </dxf>
    <dxf>
      <font>
        <color rgb="FF7D6608"/>
      </font>
      <fill>
        <patternFill>
          <bgColor rgb="FFFFD7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J7" sqref="J7"/>
    </sheetView>
  </sheetViews>
  <sheetFormatPr baseColWidth="10" defaultColWidth="9.140625" defaultRowHeight="15"/>
  <cols>
    <col min="1" max="1" width="28" customWidth="1"/>
    <col min="2" max="3" width="8" customWidth="1"/>
    <col min="4" max="4" width="10" customWidth="1"/>
    <col min="5" max="5" width="9" customWidth="1"/>
    <col min="6" max="6" width="13" customWidth="1"/>
    <col min="7" max="7" width="11" customWidth="1"/>
    <col min="8" max="8" width="8" customWidth="1"/>
    <col min="9" max="9" width="13" customWidth="1"/>
    <col min="10" max="10" width="8" customWidth="1"/>
    <col min="11" max="11" width="12" customWidth="1"/>
    <col min="12" max="12" width="16" customWidth="1"/>
    <col min="13" max="13" width="8" customWidth="1"/>
    <col min="14" max="14" width="40.42578125" customWidth="1"/>
    <col min="15" max="15" width="56.140625" customWidth="1"/>
    <col min="16" max="16" width="31.7109375" customWidth="1"/>
  </cols>
  <sheetData>
    <row r="1" spans="1:16" ht="25.5" customHeight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ht="13.5" customHeight="1">
      <c r="A2" s="71">
        <v>46146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ht="3.75" customHeight="1"/>
    <row r="4" spans="1:16" ht="36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</row>
    <row r="5" spans="1:16" ht="16.5" customHeight="1">
      <c r="A5" s="2" t="s">
        <v>17</v>
      </c>
      <c r="B5" s="3" t="s">
        <v>18</v>
      </c>
      <c r="C5" s="3" t="s">
        <v>19</v>
      </c>
      <c r="D5" s="3" t="s">
        <v>20</v>
      </c>
      <c r="E5" s="4">
        <v>0</v>
      </c>
      <c r="F5" s="5">
        <v>582</v>
      </c>
      <c r="G5" s="6">
        <f t="shared" ref="G5:G20" si="0">IF(F$25=0,0,F5/F$25)</f>
        <v>4.221839532376867E-2</v>
      </c>
      <c r="H5" s="6">
        <v>0.05</v>
      </c>
      <c r="I5" s="5">
        <f t="shared" ref="I5:I20" si="1">H5*F$25</f>
        <v>689.27300000000002</v>
      </c>
      <c r="J5" s="5">
        <f>I5-F5</f>
        <v>107.27300000000002</v>
      </c>
      <c r="K5" s="6">
        <f t="shared" ref="K5:K20" si="2">G5-H5</f>
        <v>-7.7816046762313323E-3</v>
      </c>
      <c r="L5" s="3" t="str">
        <f>IF(C5="Aktie",IF(K5&gt;'Parameter &amp; Regeln'!B$9,"📉 Reduzieren",IF(K5&lt;-'Parameter &amp; Regeln'!B$9,"📈 Aufstocken","⚖️ Halten")),IF(K5&gt;'Parameter &amp; Regeln'!B$8,"📉 Reduzieren",IF(K5&lt;-'Parameter &amp; Regeln'!B$8,"📈 Aufstocken","⚖️ Halten")))</f>
        <v>⚖️ Halten</v>
      </c>
      <c r="M5" s="7" t="str">
        <f>IF(C5="Aktie",IF(G5&gt;'Parameter &amp; Regeln'!B$10,"🚨 ÜBER CAP","✅ OK"),"")</f>
        <v/>
      </c>
      <c r="N5" s="3"/>
      <c r="O5" s="3"/>
      <c r="P5" s="5">
        <f>IF(OR(C5="ETF",C5="Gold"),(H5/SUMIF($C$5:$C$20,"&lt;&gt;Aktie",$H$5:$H$20))*('Parameter &amp; Regeln'!$B$4*('Parameter &amp; Regeln'!$B$5+'Parameter &amp; Regeln'!$B$7)),IF(C5&lt;&gt;"Aktie","",IF(OR(LEFT(O5,1)="🔴",LEFT(N5,8)="DEFCON 1"),0,IF(LEFT(N5,8)="DEFCON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Regeln'!$B$27),IF(OR(LEFT(N5,8)="DEFCON 4",LEFT(N5,8)="DEFCON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47.500000000000014</v>
      </c>
    </row>
    <row r="6" spans="1:16" ht="16.5" customHeight="1">
      <c r="A6" s="8" t="s">
        <v>21</v>
      </c>
      <c r="B6" s="9" t="s">
        <v>22</v>
      </c>
      <c r="C6" s="9" t="s">
        <v>23</v>
      </c>
      <c r="D6" s="9" t="s">
        <v>24</v>
      </c>
      <c r="E6" s="10">
        <v>0.7</v>
      </c>
      <c r="F6" s="11">
        <v>3675.72</v>
      </c>
      <c r="G6" s="12">
        <f t="shared" si="0"/>
        <v>0.26663745714687792</v>
      </c>
      <c r="H6" s="12">
        <v>0.3</v>
      </c>
      <c r="I6" s="11">
        <f t="shared" si="1"/>
        <v>4135.6379999999999</v>
      </c>
      <c r="J6" s="11">
        <f>I6-F6</f>
        <v>459.91800000000012</v>
      </c>
      <c r="K6" s="12">
        <f t="shared" si="2"/>
        <v>-3.3362542853122068E-2</v>
      </c>
      <c r="L6" s="9" t="str">
        <f>IF(C6="Aktie",IF(K6&gt;'Parameter &amp; Regeln'!B$9,"📉 Reduzieren",IF(K6&lt;-'Parameter &amp; Regeln'!B$9,"📈 Aufstocken","⚖️ Halten")),IF(K6&gt;'Parameter &amp; Regeln'!B$8,"📉 Reduzieren",IF(K6&lt;-'Parameter &amp; Regeln'!B$8,"📈 Aufstocken","⚖️ Halten")))</f>
        <v>📈 Aufstocken</v>
      </c>
      <c r="M6" s="13" t="str">
        <f>IF(C6="Aktie",IF(G6&gt;'Parameter &amp; Regeln'!B$10,"🚨 ÜBER CAP","✅ OK"),"")</f>
        <v/>
      </c>
      <c r="N6" s="9"/>
      <c r="O6" s="9"/>
      <c r="P6" s="11">
        <f>IF(OR(C6="ETF",C6="Gold"),(H6/SUMIF($C$5:$C$20,"&lt;&gt;Aktie",$H$5:$H$20))*('Parameter &amp; Regeln'!$B$4*('Parameter &amp; Regeln'!$B$5+'Parameter &amp; Regeln'!$B$7)),IF(C6&lt;&gt;"Aktie","",IF(OR(LEFT(O6,1)="🔴",LEFT(N6,8)="DEFCON 1"),0,IF(LEFT(N6,8)="DEFCON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Regeln'!$B$27),IF(OR(LEFT(N6,8)="DEFCON 4",LEFT(N6,8)="DEFCON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285.00000000000006</v>
      </c>
    </row>
    <row r="7" spans="1:16" ht="16.5" customHeight="1">
      <c r="A7" s="8" t="s">
        <v>25</v>
      </c>
      <c r="B7" s="9" t="s">
        <v>26</v>
      </c>
      <c r="C7" s="9" t="s">
        <v>23</v>
      </c>
      <c r="D7" s="9" t="s">
        <v>24</v>
      </c>
      <c r="E7" s="10">
        <v>0</v>
      </c>
      <c r="F7" s="11">
        <v>1228.3</v>
      </c>
      <c r="G7" s="12">
        <f t="shared" si="0"/>
        <v>8.9101125388634114E-2</v>
      </c>
      <c r="H7" s="12">
        <v>0.1</v>
      </c>
      <c r="I7" s="11">
        <f t="shared" si="1"/>
        <v>1378.546</v>
      </c>
      <c r="J7" s="11">
        <f>I7-F7</f>
        <v>150.24600000000009</v>
      </c>
      <c r="K7" s="12">
        <f t="shared" si="2"/>
        <v>-1.0898874611365891E-2</v>
      </c>
      <c r="L7" s="9" t="str">
        <f>IF(C7="Aktie",IF(K7&gt;'Parameter &amp; Regeln'!B$9,"📉 Reduzieren",IF(K7&lt;-'Parameter &amp; Regeln'!B$9,"📈 Aufstocken","⚖️ Halten")),IF(K7&gt;'Parameter &amp; Regeln'!B$8,"📉 Reduzieren",IF(K7&lt;-'Parameter &amp; Regeln'!B$8,"📈 Aufstocken","⚖️ Halten")))</f>
        <v>⚖️ Halten</v>
      </c>
      <c r="M7" s="13" t="str">
        <f>IF(C7="Aktie",IF(G7&gt;'Parameter &amp; Regeln'!B$10,"🚨 ÜBER CAP","✅ OK"),"")</f>
        <v/>
      </c>
      <c r="N7" s="9"/>
      <c r="O7" s="9"/>
      <c r="P7" s="11">
        <f>IF(OR(C7="ETF",C7="Gold"),(H7/SUMIF($C$5:$C$20,"&lt;&gt;Aktie",$H$5:$H$20))*('Parameter &amp; Regeln'!$B$4*('Parameter &amp; Regeln'!$B$5+'Parameter &amp; Regeln'!$B$7)),IF(C7&lt;&gt;"Aktie","",IF(OR(LEFT(O7,1)="🔴",LEFT(N7,8)="DEFCON 1"),0,IF(LEFT(N7,8)="DEFCON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Regeln'!$B$27),IF(OR(LEFT(N7,8)="DEFCON 4",LEFT(N7,8)="DEFCON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95.000000000000028</v>
      </c>
    </row>
    <row r="8" spans="1:16" ht="16.5" customHeight="1">
      <c r="A8" s="8" t="s">
        <v>27</v>
      </c>
      <c r="B8" s="9" t="s">
        <v>28</v>
      </c>
      <c r="C8" s="9" t="s">
        <v>23</v>
      </c>
      <c r="D8" s="9" t="s">
        <v>24</v>
      </c>
      <c r="E8" s="10">
        <v>0</v>
      </c>
      <c r="F8" s="11">
        <v>1769.44</v>
      </c>
      <c r="G8" s="12">
        <f t="shared" si="0"/>
        <v>0.12835552821596088</v>
      </c>
      <c r="H8" s="12">
        <v>0.15</v>
      </c>
      <c r="I8" s="11">
        <f t="shared" si="1"/>
        <v>2067.819</v>
      </c>
      <c r="J8" s="11">
        <f>I8-F8</f>
        <v>298.37899999999991</v>
      </c>
      <c r="K8" s="12">
        <f t="shared" si="2"/>
        <v>-2.164447178403911E-2</v>
      </c>
      <c r="L8" s="9" t="str">
        <f>IF(C8="Aktie",IF(K8&gt;'Parameter &amp; Regeln'!B$9,"📉 Reduzieren",IF(K8&lt;-'Parameter &amp; Regeln'!B$9,"📈 Aufstocken","⚖️ Halten")),IF(K8&gt;'Parameter &amp; Regeln'!B$8,"📉 Reduzieren",IF(K8&lt;-'Parameter &amp; Regeln'!B$8,"📈 Aufstocken","⚖️ Halten")))</f>
        <v>📈 Aufstocken</v>
      </c>
      <c r="M8" s="13" t="str">
        <f>IF(C8="Aktie",IF(G8&gt;'Parameter &amp; Regeln'!B$10,"🚨 ÜBER CAP","✅ OK"),"")</f>
        <v/>
      </c>
      <c r="N8" s="9"/>
      <c r="O8" s="9"/>
      <c r="P8" s="11">
        <f>IF(OR(C8="ETF",C8="Gold"),(H8/SUMIF($C$5:$C$20,"&lt;&gt;Aktie",$H$5:$H$20))*('Parameter &amp; Regeln'!$B$4*('Parameter &amp; Regeln'!$B$5+'Parameter &amp; Regeln'!$B$7)),IF(C8&lt;&gt;"Aktie","",IF(OR(LEFT(O8,1)="🔴",LEFT(N8,8)="DEFCON 1"),0,IF(LEFT(N8,8)="DEFCON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Regeln'!$B$27),IF(OR(LEFT(N8,8)="DEFCON 4",LEFT(N8,8)="DEFCON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142.50000000000003</v>
      </c>
    </row>
    <row r="9" spans="1:16" ht="16.5" customHeight="1">
      <c r="A9" s="8" t="s">
        <v>29</v>
      </c>
      <c r="B9" s="9" t="s">
        <v>30</v>
      </c>
      <c r="C9" s="9" t="s">
        <v>23</v>
      </c>
      <c r="D9" s="9" t="s">
        <v>20</v>
      </c>
      <c r="E9" s="10">
        <v>0.67</v>
      </c>
      <c r="F9" s="11">
        <v>1187</v>
      </c>
      <c r="G9" s="12">
        <f t="shared" si="0"/>
        <v>8.6105215205005858E-2</v>
      </c>
      <c r="H9" s="12">
        <v>0.1</v>
      </c>
      <c r="I9" s="11">
        <f t="shared" si="1"/>
        <v>1378.546</v>
      </c>
      <c r="J9" s="11">
        <f>I9-F9</f>
        <v>191.54600000000005</v>
      </c>
      <c r="K9" s="12">
        <f t="shared" si="2"/>
        <v>-1.3894784794994147E-2</v>
      </c>
      <c r="L9" s="9" t="str">
        <f>IF(C9="Aktie",IF(K9&gt;'Parameter &amp; Regeln'!B$9,"📉 Reduzieren",IF(K9&lt;-'Parameter &amp; Regeln'!B$9,"📈 Aufstocken","⚖️ Halten")),IF(K9&gt;'Parameter &amp; Regeln'!B$8,"📉 Reduzieren",IF(K9&lt;-'Parameter &amp; Regeln'!B$8,"📈 Aufstocken","⚖️ Halten")))</f>
        <v>⚖️ Halten</v>
      </c>
      <c r="M9" s="13" t="str">
        <f>IF(C9="Aktie",IF(G9&gt;'Parameter &amp; Regeln'!B$10,"🚨 ÜBER CAP","✅ OK"),"")</f>
        <v/>
      </c>
      <c r="N9" s="9"/>
      <c r="O9" s="9"/>
      <c r="P9" s="11">
        <f>IF(OR(C9="ETF",C9="Gold"),(H9/SUMIF($C$5:$C$20,"&lt;&gt;Aktie",$H$5:$H$20))*('Parameter &amp; Regeln'!$B$4*('Parameter &amp; Regeln'!$B$5+'Parameter &amp; Regeln'!$B$7)),IF(C9&lt;&gt;"Aktie","",IF(OR(LEFT(O9,1)="🔴",LEFT(N9,8)="DEFCON 1"),0,IF(LEFT(N9,8)="DEFCON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Regeln'!$B$27),IF(OR(LEFT(N9,8)="DEFCON 4",LEFT(N9,8)="DEFCON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95.000000000000028</v>
      </c>
    </row>
    <row r="10" spans="1:16" ht="16.5" customHeight="1">
      <c r="A10" s="14" t="s">
        <v>31</v>
      </c>
      <c r="B10" s="15" t="s">
        <v>32</v>
      </c>
      <c r="C10" s="15" t="s">
        <v>33</v>
      </c>
      <c r="D10" s="15" t="s">
        <v>20</v>
      </c>
      <c r="E10" s="16">
        <v>0</v>
      </c>
      <c r="F10" s="17">
        <v>443</v>
      </c>
      <c r="G10" s="18">
        <f t="shared" si="0"/>
        <v>3.2135307780806734E-2</v>
      </c>
      <c r="H10" s="18">
        <v>2.7300000000000001E-2</v>
      </c>
      <c r="I10" s="17">
        <f t="shared" si="1"/>
        <v>376.34305799999998</v>
      </c>
      <c r="J10" s="17">
        <f t="shared" ref="J10:J20" si="3">IF(P10=0,0,I10-F10)</f>
        <v>-66.656942000000015</v>
      </c>
      <c r="K10" s="18">
        <f t="shared" si="2"/>
        <v>4.8353077808067323E-3</v>
      </c>
      <c r="L10" s="15" t="str">
        <f>IF(C10="Aktie",IF(K10&gt;'Parameter &amp; Regeln'!B$9,"📉 Reduzieren",IF(K10&lt;-'Parameter &amp; Regeln'!B$9,"📈 Aufstocken","⚖️ Halten")),IF(K10&gt;'Parameter &amp; Regeln'!B$8,"📉 Reduzieren",IF(K10&lt;-'Parameter &amp; Regeln'!B$8,"📈 Aufstocken","⚖️ Halten")))</f>
        <v>⚖️ Halten</v>
      </c>
      <c r="M10" s="19" t="str">
        <f>IF(C10="Aktie",IF(G10&gt;'Parameter &amp; Regeln'!B$10,"🚨 ÜBER CAP","✅ OK"),"")</f>
        <v>✅ OK</v>
      </c>
      <c r="N10" s="15" t="s">
        <v>34</v>
      </c>
      <c r="O10" s="15" t="s">
        <v>35</v>
      </c>
      <c r="P10" s="17">
        <f>IF(OR(C10="ETF",C10="Gold"),(H10/SUMIF($C$5:$C$20,"&lt;&gt;Aktie",$H$5:$H$20))*('Parameter &amp; Regeln'!$B$4*('Parameter &amp; Regeln'!$B$5+'Parameter &amp; Regeln'!$B$7)),IF(C10&lt;&gt;"Aktie","",IF(OR(LEFT(O10,1)="🔴",LEFT(N10,8)="DEFCON 1"),0,IF(LEFT(N10,8)="DEFCON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Regeln'!$B$27),IF(OR(LEFT(N10,8)="DEFCON 4",LEFT(N10,8)="DEFCON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38</v>
      </c>
    </row>
    <row r="11" spans="1:16" ht="16.5" customHeight="1">
      <c r="A11" s="20" t="s">
        <v>36</v>
      </c>
      <c r="B11" s="21" t="s">
        <v>37</v>
      </c>
      <c r="C11" s="21" t="s">
        <v>33</v>
      </c>
      <c r="D11" s="21" t="s">
        <v>20</v>
      </c>
      <c r="E11" s="22">
        <v>1</v>
      </c>
      <c r="F11" s="23">
        <v>516</v>
      </c>
      <c r="G11" s="24">
        <f t="shared" si="0"/>
        <v>3.7430742245815524E-2</v>
      </c>
      <c r="H11" s="24">
        <v>2.7300000000000001E-2</v>
      </c>
      <c r="I11" s="23">
        <f t="shared" si="1"/>
        <v>376.34305799999998</v>
      </c>
      <c r="J11" s="23">
        <f t="shared" si="3"/>
        <v>0</v>
      </c>
      <c r="K11" s="24">
        <f t="shared" si="2"/>
        <v>1.0130742245815522E-2</v>
      </c>
      <c r="L11" s="21" t="str">
        <f>IF(C11="Aktie",IF(K11&gt;'Parameter &amp; Regeln'!B$9,"📉 Reduzieren",IF(K11&lt;-'Parameter &amp; Regeln'!B$9,"📈 Aufstocken","⚖️ Halten")),IF(K11&gt;'Parameter &amp; Regeln'!B$8,"📉 Reduzieren",IF(K11&lt;-'Parameter &amp; Regeln'!B$8,"📈 Aufstocken","⚖️ Halten")))</f>
        <v>⚖️ Halten</v>
      </c>
      <c r="M11" s="25" t="str">
        <f>IF(C11="Aktie",IF(G11&gt;'Parameter &amp; Regeln'!B$10,"🚨 ÜBER CAP","✅ OK"),"")</f>
        <v>✅ OK</v>
      </c>
      <c r="N11" s="21" t="s">
        <v>38</v>
      </c>
      <c r="O11" s="21" t="s">
        <v>39</v>
      </c>
      <c r="P11" s="23">
        <f>IF(OR(C11="ETF",C11="Gold"),(H11/SUMIF($C$5:$C$20,"&lt;&gt;Aktie",$H$5:$H$20))*('Parameter &amp; Regeln'!$B$4*('Parameter &amp; Regeln'!$B$5+'Parameter &amp; Regeln'!$B$7)),IF(C11&lt;&gt;"Aktie","",IF(OR(LEFT(O11,1)="🔴",LEFT(N11,8)="DEFCON 1"),0,IF(LEFT(N11,8)="DEFCON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Regeln'!$B$27),IF(OR(LEFT(N11,8)="DEFCON 4",LEFT(N11,8)="DEFCON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0</v>
      </c>
    </row>
    <row r="12" spans="1:16" ht="16.5" customHeight="1">
      <c r="A12" s="14" t="s">
        <v>40</v>
      </c>
      <c r="B12" s="15" t="s">
        <v>41</v>
      </c>
      <c r="C12" s="15" t="s">
        <v>33</v>
      </c>
      <c r="D12" s="15" t="s">
        <v>20</v>
      </c>
      <c r="E12" s="16">
        <v>1</v>
      </c>
      <c r="F12" s="17">
        <v>387</v>
      </c>
      <c r="G12" s="18">
        <f t="shared" si="0"/>
        <v>2.8073056684361639E-2</v>
      </c>
      <c r="H12" s="18">
        <v>2.7300000000000001E-2</v>
      </c>
      <c r="I12" s="17">
        <f t="shared" si="1"/>
        <v>376.34305799999998</v>
      </c>
      <c r="J12" s="17">
        <f t="shared" si="3"/>
        <v>0</v>
      </c>
      <c r="K12" s="18">
        <f t="shared" si="2"/>
        <v>7.7305668436163794E-4</v>
      </c>
      <c r="L12" s="15" t="str">
        <f>IF(C12="Aktie",IF(K12&gt;'Parameter &amp; Regeln'!B$9,"📉 Reduzieren",IF(K12&lt;-'Parameter &amp; Regeln'!B$9,"📈 Aufstocken","⚖️ Halten")),IF(K12&gt;'Parameter &amp; Regeln'!B$8,"📉 Reduzieren",IF(K12&lt;-'Parameter &amp; Regeln'!B$8,"📈 Aufstocken","⚖️ Halten")))</f>
        <v>⚖️ Halten</v>
      </c>
      <c r="M12" s="19" t="str">
        <f>IF(C12="Aktie",IF(G12&gt;'Parameter &amp; Regeln'!B$10,"🚨 ÜBER CAP","✅ OK"),"")</f>
        <v>✅ OK</v>
      </c>
      <c r="N12" s="15" t="s">
        <v>42</v>
      </c>
      <c r="O12" s="15" t="s">
        <v>43</v>
      </c>
      <c r="P12" s="17">
        <f>IF(OR(C12="ETF",C12="Gold"),(H12/SUMIF($C$5:$C$20,"&lt;&gt;Aktie",$H$5:$H$20))*('Parameter &amp; Regeln'!$B$4*('Parameter &amp; Regeln'!$B$5+'Parameter &amp; Regeln'!$B$7)),IF(C12&lt;&gt;"Aktie","",IF(OR(LEFT(O12,1)="🔴",LEFT(N12,8)="DEFCON 1"),0,IF(LEFT(N12,8)="DEFCON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Regeln'!$B$27),IF(OR(LEFT(N12,8)="DEFCON 4",LEFT(N12,8)="DEFCON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0</v>
      </c>
    </row>
    <row r="13" spans="1:16" ht="16.5" customHeight="1">
      <c r="A13" s="20" t="s">
        <v>44</v>
      </c>
      <c r="B13" s="21" t="s">
        <v>45</v>
      </c>
      <c r="C13" s="21" t="s">
        <v>33</v>
      </c>
      <c r="D13" s="21" t="s">
        <v>20</v>
      </c>
      <c r="E13" s="22">
        <v>1</v>
      </c>
      <c r="F13" s="23">
        <v>404</v>
      </c>
      <c r="G13" s="24">
        <f t="shared" si="0"/>
        <v>2.9306240052925332E-2</v>
      </c>
      <c r="H13" s="24">
        <v>2.7300000000000001E-2</v>
      </c>
      <c r="I13" s="23">
        <f t="shared" si="1"/>
        <v>376.34305799999998</v>
      </c>
      <c r="J13" s="23">
        <f t="shared" si="3"/>
        <v>-27.656942000000015</v>
      </c>
      <c r="K13" s="24">
        <f t="shared" si="2"/>
        <v>2.0062400529253302E-3</v>
      </c>
      <c r="L13" s="21" t="str">
        <f>IF(C13="Aktie",IF(K13&gt;'Parameter &amp; Regeln'!B$9,"📉 Reduzieren",IF(K13&lt;-'Parameter &amp; Regeln'!B$9,"📈 Aufstocken","⚖️ Halten")),IF(K13&gt;'Parameter &amp; Regeln'!B$8,"📉 Reduzieren",IF(K13&lt;-'Parameter &amp; Regeln'!B$8,"📈 Aufstocken","⚖️ Halten")))</f>
        <v>⚖️ Halten</v>
      </c>
      <c r="M13" s="25" t="str">
        <f>IF(C13="Aktie",IF(G13&gt;'Parameter &amp; Regeln'!B$10,"🚨 ÜBER CAP","✅ OK"),"")</f>
        <v>✅ OK</v>
      </c>
      <c r="N13" s="21" t="s">
        <v>46</v>
      </c>
      <c r="O13" s="21" t="s">
        <v>47</v>
      </c>
      <c r="P13" s="23">
        <f>IF(OR(C13="ETF",C13="Gold"),(H13/SUMIF($C$5:$C$20,"&lt;&gt;Aktie",$H$5:$H$20))*('Parameter &amp; Regeln'!$B$4*('Parameter &amp; Regeln'!$B$5+'Parameter &amp; Regeln'!$B$7)),IF(C13&lt;&gt;"Aktie","",IF(OR(LEFT(O13,1)="🔴",LEFT(N13,8)="DEFCON 1"),0,IF(LEFT(N13,8)="DEFCON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Regeln'!$B$27),IF(OR(LEFT(N13,8)="DEFCON 4",LEFT(N13,8)="DEFCON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38</v>
      </c>
    </row>
    <row r="14" spans="1:16" ht="16.5" customHeight="1">
      <c r="A14" s="14" t="s">
        <v>48</v>
      </c>
      <c r="B14" s="15" t="s">
        <v>49</v>
      </c>
      <c r="C14" s="15" t="s">
        <v>33</v>
      </c>
      <c r="D14" s="15" t="s">
        <v>20</v>
      </c>
      <c r="E14" s="16">
        <v>0</v>
      </c>
      <c r="F14" s="17">
        <v>394</v>
      </c>
      <c r="G14" s="18">
        <f t="shared" si="0"/>
        <v>2.8580838071417279E-2</v>
      </c>
      <c r="H14" s="18">
        <v>2.7300000000000001E-2</v>
      </c>
      <c r="I14" s="17">
        <f t="shared" si="1"/>
        <v>376.34305799999998</v>
      </c>
      <c r="J14" s="17">
        <f t="shared" si="3"/>
        <v>-17.656942000000015</v>
      </c>
      <c r="K14" s="18">
        <f t="shared" si="2"/>
        <v>1.2808380714172778E-3</v>
      </c>
      <c r="L14" s="15" t="str">
        <f>IF(C14="Aktie",IF(K14&gt;'Parameter &amp; Regeln'!B$9,"📉 Reduzieren",IF(K14&lt;-'Parameter &amp; Regeln'!B$9,"📈 Aufstocken","⚖️ Halten")),IF(K14&gt;'Parameter &amp; Regeln'!B$8,"📉 Reduzieren",IF(K14&lt;-'Parameter &amp; Regeln'!B$8,"📈 Aufstocken","⚖️ Halten")))</f>
        <v>⚖️ Halten</v>
      </c>
      <c r="M14" s="19" t="str">
        <f>IF(C14="Aktie",IF(G14&gt;'Parameter &amp; Regeln'!B$10,"🚨 ÜBER CAP","✅ OK"),"")</f>
        <v>✅ OK</v>
      </c>
      <c r="N14" s="15" t="s">
        <v>50</v>
      </c>
      <c r="O14" s="15" t="s">
        <v>51</v>
      </c>
      <c r="P14" s="17">
        <f>IF(OR(C14="ETF",C14="Gold"),(H14/SUMIF($C$5:$C$20,"&lt;&gt;Aktie",$H$5:$H$20))*('Parameter &amp; Regeln'!$B$4*('Parameter &amp; Regeln'!$B$5+'Parameter &amp; Regeln'!$B$7)),IF(C14&lt;&gt;"Aktie","",IF(OR(LEFT(O14,1)="🔴",LEFT(N14,8)="DEFCON 1"),0,IF(LEFT(N14,8)="DEFCON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Regeln'!$B$27),IF(OR(LEFT(N14,8)="DEFCON 4",LEFT(N14,8)="DEFCON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38</v>
      </c>
    </row>
    <row r="15" spans="1:16" ht="16.5" customHeight="1">
      <c r="A15" s="20" t="s">
        <v>52</v>
      </c>
      <c r="B15" s="21" t="s">
        <v>53</v>
      </c>
      <c r="C15" s="21" t="s">
        <v>33</v>
      </c>
      <c r="D15" s="21" t="s">
        <v>20</v>
      </c>
      <c r="E15" s="22">
        <v>1</v>
      </c>
      <c r="F15" s="23">
        <v>322</v>
      </c>
      <c r="G15" s="24">
        <f t="shared" si="0"/>
        <v>2.3357943804559297E-2</v>
      </c>
      <c r="H15" s="24">
        <v>2.7300000000000001E-2</v>
      </c>
      <c r="I15" s="23">
        <f t="shared" si="1"/>
        <v>376.34305799999998</v>
      </c>
      <c r="J15" s="23">
        <f t="shared" si="3"/>
        <v>54.343057999999985</v>
      </c>
      <c r="K15" s="24">
        <f t="shared" si="2"/>
        <v>-3.9420561954407046E-3</v>
      </c>
      <c r="L15" s="21" t="str">
        <f>IF(C15="Aktie",IF(K15&gt;'Parameter &amp; Regeln'!B$9,"📉 Reduzieren",IF(K15&lt;-'Parameter &amp; Regeln'!B$9,"📈 Aufstocken","⚖️ Halten")),IF(K15&gt;'Parameter &amp; Regeln'!B$8,"📉 Reduzieren",IF(K15&lt;-'Parameter &amp; Regeln'!B$8,"📈 Aufstocken","⚖️ Halten")))</f>
        <v>⚖️ Halten</v>
      </c>
      <c r="M15" s="25" t="str">
        <f>IF(C15="Aktie",IF(G15&gt;'Parameter &amp; Regeln'!B$10,"🚨 ÜBER CAP","✅ OK"),"")</f>
        <v>✅ OK</v>
      </c>
      <c r="N15" s="21" t="s">
        <v>54</v>
      </c>
      <c r="O15" s="21" t="s">
        <v>47</v>
      </c>
      <c r="P15" s="23">
        <f>IF(OR(C15="ETF",C15="Gold"),(H15/SUMIF($C$5:$C$20,"&lt;&gt;Aktie",$H$5:$H$20))*('Parameter &amp; Regeln'!$B$4*('Parameter &amp; Regeln'!$B$5+'Parameter &amp; Regeln'!$B$7)),IF(C15&lt;&gt;"Aktie","",IF(OR(LEFT(O15,1)="🔴",LEFT(N15,8)="DEFCON 1"),0,IF(LEFT(N15,8)="DEFCON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Regeln'!$B$27),IF(OR(LEFT(N15,8)="DEFCON 4",LEFT(N15,8)="DEFCON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38</v>
      </c>
    </row>
    <row r="16" spans="1:16" ht="16.5" customHeight="1">
      <c r="A16" s="14" t="s">
        <v>55</v>
      </c>
      <c r="B16" s="15" t="s">
        <v>56</v>
      </c>
      <c r="C16" s="15" t="s">
        <v>33</v>
      </c>
      <c r="D16" s="15" t="s">
        <v>20</v>
      </c>
      <c r="E16" s="16">
        <v>0</v>
      </c>
      <c r="F16" s="17">
        <v>407</v>
      </c>
      <c r="G16" s="18">
        <f t="shared" si="0"/>
        <v>2.9523860647377748E-2</v>
      </c>
      <c r="H16" s="18">
        <v>2.7300000000000001E-2</v>
      </c>
      <c r="I16" s="17">
        <f t="shared" si="1"/>
        <v>376.34305799999998</v>
      </c>
      <c r="J16" s="17">
        <f t="shared" si="3"/>
        <v>-30.656942000000015</v>
      </c>
      <c r="K16" s="18">
        <f t="shared" si="2"/>
        <v>2.2238606473777463E-3</v>
      </c>
      <c r="L16" s="15" t="str">
        <f>IF(C16="Aktie",IF(K16&gt;'Parameter &amp; Regeln'!B$9,"📉 Reduzieren",IF(K16&lt;-'Parameter &amp; Regeln'!B$9,"📈 Aufstocken","⚖️ Halten")),IF(K16&gt;'Parameter &amp; Regeln'!B$8,"📉 Reduzieren",IF(K16&lt;-'Parameter &amp; Regeln'!B$8,"📈 Aufstocken","⚖️ Halten")))</f>
        <v>⚖️ Halten</v>
      </c>
      <c r="M16" s="19" t="str">
        <f>IF(C16="Aktie",IF(G16&gt;'Parameter &amp; Regeln'!B$10,"🚨 ÜBER CAP","✅ OK"),"")</f>
        <v>✅ OK</v>
      </c>
      <c r="N16" s="15" t="s">
        <v>57</v>
      </c>
      <c r="O16" s="15" t="s">
        <v>47</v>
      </c>
      <c r="P16" s="17">
        <f>IF(OR(C16="ETF",C16="Gold"),(H16/SUMIF($C$5:$C$20,"&lt;&gt;Aktie",$H$5:$H$20))*('Parameter &amp; Regeln'!$B$4*('Parameter &amp; Regeln'!$B$5+'Parameter &amp; Regeln'!$B$7)),IF(C16&lt;&gt;"Aktie","",IF(OR(LEFT(O16,1)="🔴",LEFT(N16,8)="DEFCON 1"),0,IF(LEFT(N16,8)="DEFCON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Regeln'!$B$27),IF(OR(LEFT(N16,8)="DEFCON 4",LEFT(N16,8)="DEFCON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38</v>
      </c>
    </row>
    <row r="17" spans="1:16" ht="16.5" customHeight="1">
      <c r="A17" s="20" t="s">
        <v>58</v>
      </c>
      <c r="B17" s="21" t="s">
        <v>59</v>
      </c>
      <c r="C17" s="21" t="s">
        <v>33</v>
      </c>
      <c r="D17" s="21" t="s">
        <v>20</v>
      </c>
      <c r="E17" s="22">
        <v>1</v>
      </c>
      <c r="F17" s="23">
        <v>440</v>
      </c>
      <c r="G17" s="24">
        <f t="shared" si="0"/>
        <v>3.1917687186354321E-2</v>
      </c>
      <c r="H17" s="24">
        <v>2.7300000000000001E-2</v>
      </c>
      <c r="I17" s="23">
        <f t="shared" si="1"/>
        <v>376.34305799999998</v>
      </c>
      <c r="J17" s="23">
        <f t="shared" si="3"/>
        <v>-63.656942000000015</v>
      </c>
      <c r="K17" s="24">
        <f t="shared" si="2"/>
        <v>4.6176871863543197E-3</v>
      </c>
      <c r="L17" s="21" t="str">
        <f>IF(C17="Aktie",IF(K17&gt;'Parameter &amp; Regeln'!B$9,"📉 Reduzieren",IF(K17&lt;-'Parameter &amp; Regeln'!B$9,"📈 Aufstocken","⚖️ Halten")),IF(K17&gt;'Parameter &amp; Regeln'!B$8,"📉 Reduzieren",IF(K17&lt;-'Parameter &amp; Regeln'!B$8,"📈 Aufstocken","⚖️ Halten")))</f>
        <v>⚖️ Halten</v>
      </c>
      <c r="M17" s="25" t="str">
        <f>IF(C17="Aktie",IF(G17&gt;'Parameter &amp; Regeln'!B$10,"🚨 ÜBER CAP","✅ OK"),"")</f>
        <v>✅ OK</v>
      </c>
      <c r="N17" s="21" t="s">
        <v>60</v>
      </c>
      <c r="O17" s="21" t="s">
        <v>47</v>
      </c>
      <c r="P17" s="23">
        <f>IF(OR(C17="ETF",C17="Gold"),(H17/SUMIF($C$5:$C$20,"&lt;&gt;Aktie",$H$5:$H$20))*('Parameter &amp; Regeln'!$B$4*('Parameter &amp; Regeln'!$B$5+'Parameter &amp; Regeln'!$B$7)),IF(C17&lt;&gt;"Aktie","",IF(OR(LEFT(O17,1)="🔴",LEFT(N17,8)="DEFCON 1"),0,IF(LEFT(N17,8)="DEFCON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Regeln'!$B$27),IF(OR(LEFT(N17,8)="DEFCON 4",LEFT(N17,8)="DEFCON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38</v>
      </c>
    </row>
    <row r="18" spans="1:16" ht="16.5" customHeight="1">
      <c r="A18" s="14" t="s">
        <v>61</v>
      </c>
      <c r="B18" s="15" t="s">
        <v>62</v>
      </c>
      <c r="C18" s="15" t="s">
        <v>33</v>
      </c>
      <c r="D18" s="15" t="s">
        <v>20</v>
      </c>
      <c r="E18" s="16">
        <v>1</v>
      </c>
      <c r="F18" s="17">
        <v>478</v>
      </c>
      <c r="G18" s="18">
        <f t="shared" si="0"/>
        <v>3.4674214716084922E-2</v>
      </c>
      <c r="H18" s="18">
        <v>2.7300000000000001E-2</v>
      </c>
      <c r="I18" s="17">
        <f t="shared" si="1"/>
        <v>376.34305799999998</v>
      </c>
      <c r="J18" s="17">
        <f t="shared" si="3"/>
        <v>-101.65694200000002</v>
      </c>
      <c r="K18" s="18">
        <f t="shared" si="2"/>
        <v>7.374214716084921E-3</v>
      </c>
      <c r="L18" s="15" t="str">
        <f>IF(C18="Aktie",IF(K18&gt;'Parameter &amp; Regeln'!B$9,"📉 Reduzieren",IF(K18&lt;-'Parameter &amp; Regeln'!B$9,"📈 Aufstocken","⚖️ Halten")),IF(K18&gt;'Parameter &amp; Regeln'!B$8,"📉 Reduzieren",IF(K18&lt;-'Parameter &amp; Regeln'!B$8,"📈 Aufstocken","⚖️ Halten")))</f>
        <v>⚖️ Halten</v>
      </c>
      <c r="M18" s="19" t="str">
        <f>IF(C18="Aktie",IF(G18&gt;'Parameter &amp; Regeln'!B$10,"🚨 ÜBER CAP","✅ OK"),"")</f>
        <v>✅ OK</v>
      </c>
      <c r="N18" s="15" t="s">
        <v>63</v>
      </c>
      <c r="O18" s="15" t="s">
        <v>64</v>
      </c>
      <c r="P18" s="17">
        <f>IF(OR(C18="ETF",C18="Gold"),(H18/SUMIF($C$5:$C$20,"&lt;&gt;Aktie",$H$5:$H$20))*('Parameter &amp; Regeln'!$B$4*('Parameter &amp; Regeln'!$B$5+'Parameter &amp; Regeln'!$B$7)),IF(C18&lt;&gt;"Aktie","",IF(OR(LEFT(O18,1)="🔴",LEFT(N18,8)="DEFCON 1"),0,IF(LEFT(N18,8)="DEFCON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Regeln'!$B$27),IF(OR(LEFT(N18,8)="DEFCON 4",LEFT(N18,8)="DEFCON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19</v>
      </c>
    </row>
    <row r="19" spans="1:16" ht="16.5" customHeight="1">
      <c r="A19" s="20" t="s">
        <v>65</v>
      </c>
      <c r="B19" s="21" t="s">
        <v>66</v>
      </c>
      <c r="C19" s="21" t="s">
        <v>33</v>
      </c>
      <c r="D19" s="21" t="s">
        <v>20</v>
      </c>
      <c r="E19" s="22">
        <v>1</v>
      </c>
      <c r="F19" s="23">
        <v>305</v>
      </c>
      <c r="G19" s="24">
        <f t="shared" si="0"/>
        <v>2.2124760435995608E-2</v>
      </c>
      <c r="H19" s="24">
        <v>2.7300000000000001E-2</v>
      </c>
      <c r="I19" s="23">
        <f t="shared" si="1"/>
        <v>376.34305799999998</v>
      </c>
      <c r="J19" s="23">
        <f t="shared" si="3"/>
        <v>71.343057999999985</v>
      </c>
      <c r="K19" s="24">
        <f t="shared" si="2"/>
        <v>-5.1752395640043934E-3</v>
      </c>
      <c r="L19" s="21" t="str">
        <f>IF(C19="Aktie",IF(K19&gt;'Parameter &amp; Regeln'!B$9,"📉 Reduzieren",IF(K19&lt;-'Parameter &amp; Regeln'!B$9,"📈 Aufstocken","⚖️ Halten")),IF(K19&gt;'Parameter &amp; Regeln'!B$8,"📉 Reduzieren",IF(K19&lt;-'Parameter &amp; Regeln'!B$8,"📈 Aufstocken","⚖️ Halten")))</f>
        <v>⚖️ Halten</v>
      </c>
      <c r="M19" s="25" t="str">
        <f>IF(C19="Aktie",IF(G19&gt;'Parameter &amp; Regeln'!B$10,"🚨 ÜBER CAP","✅ OK"),"")</f>
        <v>✅ OK</v>
      </c>
      <c r="N19" s="21" t="s">
        <v>67</v>
      </c>
      <c r="O19" s="21" t="s">
        <v>68</v>
      </c>
      <c r="P19" s="23">
        <f>IF(OR(C19="ETF",C19="Gold"),(H19/SUMIF($C$5:$C$20,"&lt;&gt;Aktie",$H$5:$H$20))*('Parameter &amp; Regeln'!$B$4*('Parameter &amp; Regeln'!$B$5+'Parameter &amp; Regeln'!$B$7)),IF(C19&lt;&gt;"Aktie","",IF(OR(LEFT(O19,1)="🔴",LEFT(N19,8)="DEFCON 1"),0,IF(LEFT(N19,8)="DEFCON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Regeln'!$B$27),IF(OR(LEFT(N19,8)="DEFCON 4",LEFT(N19,8)="DEFCON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38</v>
      </c>
    </row>
    <row r="20" spans="1:16" ht="16.5" customHeight="1">
      <c r="A20" s="14" t="s">
        <v>69</v>
      </c>
      <c r="B20" s="15" t="s">
        <v>70</v>
      </c>
      <c r="C20" s="15" t="s">
        <v>33</v>
      </c>
      <c r="D20" s="15" t="s">
        <v>20</v>
      </c>
      <c r="E20" s="16">
        <v>1</v>
      </c>
      <c r="F20" s="17">
        <v>297</v>
      </c>
      <c r="G20" s="18">
        <f t="shared" si="0"/>
        <v>2.1544438850789167E-2</v>
      </c>
      <c r="H20" s="18">
        <v>2.7E-2</v>
      </c>
      <c r="I20" s="17">
        <f t="shared" si="1"/>
        <v>372.20741999999996</v>
      </c>
      <c r="J20" s="17">
        <f t="shared" si="3"/>
        <v>0</v>
      </c>
      <c r="K20" s="18">
        <f t="shared" si="2"/>
        <v>-5.4555611492108323E-3</v>
      </c>
      <c r="L20" s="15" t="str">
        <f>IF(C20="Aktie",IF(K20&gt;'Parameter &amp; Regeln'!B$9,"📉 Reduzieren",IF(K20&lt;-'Parameter &amp; Regeln'!B$9,"📈 Aufstocken","⚖️ Halten")),IF(K20&gt;'Parameter &amp; Regeln'!B$8,"📉 Reduzieren",IF(K20&lt;-'Parameter &amp; Regeln'!B$8,"📈 Aufstocken","⚖️ Halten")))</f>
        <v>⚖️ Halten</v>
      </c>
      <c r="M20" s="19" t="str">
        <f>IF(C20="Aktie",IF(G20&gt;'Parameter &amp; Regeln'!B$10,"🚨 ÜBER CAP","✅ OK"),"")</f>
        <v>✅ OK</v>
      </c>
      <c r="N20" s="15" t="s">
        <v>71</v>
      </c>
      <c r="O20" s="15" t="s">
        <v>72</v>
      </c>
      <c r="P20" s="17">
        <f>IF(OR(C20="ETF",C20="Gold"),(H20/SUMIF($C$5:$C$20,"&lt;&gt;Aktie",$H$5:$H$20))*('Parameter &amp; Regeln'!$B$4*('Parameter &amp; Regeln'!$B$5+'Parameter &amp; Regeln'!$B$7)),IF(C20&lt;&gt;"Aktie","",IF(OR(LEFT(O20,1)="🔴",LEFT(N20,8)="DEFCON 1"),0,IF(LEFT(N20,8)="DEFCON 2",'Parameter &amp; Regeln'!$B$4*'Parameter &amp; Regeln'!$B$6*'Parameter &amp; Regeln'!$B$27/(COUNTIFS($C$5:$C$20,"Aktie",$N$5:$N$20,"DEFCON 4*",$O$5:$O$20,"&lt;&gt;🔴*")+COUNTIFS($C$5:$C$20,"Aktie",$N$5:$N$20,"DEFCON 3*",$O$5:$O$20,"&lt;&gt;🔴*")+COUNTIFS($C$5:$C$20,"Aktie",$N$5:$N$20,"DEFCON 2*",$O$5:$O$20,"&lt;&gt;🔴*")*'Parameter &amp; Regeln'!$B$27),IF(OR(LEFT(N20,8)="DEFCON 4",LEFT(N20,8)="DEFCON 3"),'Parameter &amp; Regeln'!$B$4*'Parameter &amp; Regeln'!$B$6/(COUNTIFS($C$5:$C$20,"Aktie",$N$5:$N$20,"DEFCON 4*",$O$5:$O$20,"&lt;&gt;🔴*")+COUNTIFS($C$5:$C$20,"Aktie",$N$5:$N$20,"DEFCON 3*",$O$5:$O$20,"&lt;&gt;🔴*")+COUNTIFS($C$5:$C$20,"Aktie",$N$5:$N$20,"DEFCON 2*",$O$5:$O$20,"&lt;&gt;🔴*")*'Parameter &amp; Regeln'!$B$27),"")))))</f>
        <v>0</v>
      </c>
    </row>
    <row r="21" spans="1:16" ht="18.75" customHeight="1">
      <c r="A21" s="26" t="s">
        <v>73</v>
      </c>
      <c r="B21" s="27"/>
      <c r="C21" s="27"/>
      <c r="D21" s="27"/>
      <c r="E21" s="27"/>
      <c r="F21" s="28">
        <f>SUM(F5:F20)</f>
        <v>12835.46</v>
      </c>
      <c r="G21" s="29">
        <f>SUM(G5:G20)</f>
        <v>0.93108681175673524</v>
      </c>
      <c r="H21" s="29">
        <f>SUM(H5:H20)</f>
        <v>0.99999999999999989</v>
      </c>
      <c r="I21" s="28">
        <f>SUM(I5:I20)</f>
        <v>13785.460000000005</v>
      </c>
      <c r="J21" s="28">
        <f>ROUND(SUM(J5:J20),2)</f>
        <v>1025.1099999999999</v>
      </c>
      <c r="K21" s="29">
        <f>SUMPRODUCT((C5:C20="Aktie")*ABS(K5:K20))/COUNTIF(C5:C20,"Aktie")</f>
        <v>4.3468003903454015E-3</v>
      </c>
      <c r="L21" s="26" t="s">
        <v>74</v>
      </c>
      <c r="M21" s="30">
        <f>COUNTIF(M5:M20,"🚨 ÜBER CAP")</f>
        <v>0</v>
      </c>
      <c r="N21" s="31">
        <f>COUNTIF(N5:N20,"DEFCON 1*")+COUNTIF(N5:N20,"DEFCON 2*")+COUNTIF(N5:N20,"DEFCON 3*")</f>
        <v>11</v>
      </c>
      <c r="O21" s="31">
        <f>COUNTIF(O5:O20,"🚩*")+COUNTIF(O5:O20,"🔴*")</f>
        <v>3</v>
      </c>
      <c r="P21" s="28">
        <f>SUMIF(C5:C20,"Aktie",P5:P20)+SUMIF(C5:C20,"&lt;&gt;Aktie",P5:P20)</f>
        <v>950.00000000000011</v>
      </c>
    </row>
    <row r="22" spans="1:16" ht="16.5" customHeight="1">
      <c r="K22" s="32">
        <f>SUMPRODUCT((C5:C20&lt;&gt;"Aktie")*ABS(K5:K20))/COUNTIF(C5:C20,"&lt;&gt;Aktie")</f>
        <v>1.7516455743950509E-2</v>
      </c>
      <c r="L22" s="33" t="s">
        <v>75</v>
      </c>
      <c r="M22" s="34">
        <f>COUNTIF(M5:M9,"🚨 ÜBER CAP")</f>
        <v>0</v>
      </c>
      <c r="N22" s="35" t="s">
        <v>76</v>
      </c>
      <c r="O22" s="35" t="s">
        <v>77</v>
      </c>
      <c r="P22" s="36" t="s">
        <v>78</v>
      </c>
    </row>
    <row r="23" spans="1:16" ht="16.5" customHeight="1">
      <c r="A23" s="37" t="s">
        <v>79</v>
      </c>
      <c r="F23" s="38">
        <v>1297.78</v>
      </c>
    </row>
    <row r="24" spans="1:16" ht="16.5" customHeight="1">
      <c r="A24" s="39" t="s">
        <v>80</v>
      </c>
      <c r="F24" s="40">
        <v>950</v>
      </c>
    </row>
    <row r="25" spans="1:16" ht="16.5" customHeight="1">
      <c r="A25" s="37" t="s">
        <v>81</v>
      </c>
      <c r="F25" s="41">
        <f>F21 + F24</f>
        <v>13785.46</v>
      </c>
    </row>
    <row r="26" spans="1:16" ht="16.5" customHeight="1">
      <c r="A26" s="39" t="s">
        <v>82</v>
      </c>
      <c r="F26" s="42">
        <f>F24 - MIN(F23, SUMIFS(J5:J20, D5:D20, "Scalable", J5:J20, "&gt;0"))</f>
        <v>525.49488399999996</v>
      </c>
    </row>
  </sheetData>
  <mergeCells count="2">
    <mergeCell ref="A1:P1"/>
    <mergeCell ref="A2:P2"/>
  </mergeCells>
  <conditionalFormatting sqref="L5:L20">
    <cfRule type="expression" dxfId="17" priority="2">
      <formula>NOT(ISERROR(SEARCH("Reduzieren",L5)))</formula>
    </cfRule>
    <cfRule type="expression" dxfId="16" priority="3">
      <formula>NOT(ISERROR(SEARCH("Aufstocken",L5)))</formula>
    </cfRule>
    <cfRule type="expression" dxfId="15" priority="4">
      <formula>NOT(ISERROR(SEARCH("Halten",L5)))</formula>
    </cfRule>
  </conditionalFormatting>
  <conditionalFormatting sqref="M5:M20">
    <cfRule type="expression" dxfId="14" priority="5">
      <formula>NOT(ISERROR(SEARCH("ÜBER CAP",M5)))</formula>
    </cfRule>
    <cfRule type="expression" dxfId="13" priority="6">
      <formula>NOT(ISERROR(SEARCH("OK",M5)))</formula>
    </cfRule>
  </conditionalFormatting>
  <conditionalFormatting sqref="N5:N20">
    <cfRule type="expression" dxfId="12" priority="16" stopIfTrue="1">
      <formula>LEFT(N5,8)="DEFCON 4"</formula>
    </cfRule>
    <cfRule type="expression" dxfId="11" priority="16" stopIfTrue="1">
      <formula>LEFT(N5,8)="DEFCON 3"</formula>
    </cfRule>
    <cfRule type="expression" dxfId="10" priority="17" stopIfTrue="1">
      <formula>LEFT(N5,8)="DEFCON 2"</formula>
    </cfRule>
    <cfRule type="expression" dxfId="9" priority="18" stopIfTrue="1">
      <formula>LEFT(N5,8)="DEFCON 1"</formula>
    </cfRule>
  </conditionalFormatting>
  <conditionalFormatting sqref="O5:O20">
    <cfRule type="expression" dxfId="8" priority="19" stopIfTrue="1">
      <formula>O5="✅ Clean"</formula>
    </cfRule>
    <cfRule type="expression" dxfId="7" priority="19" stopIfTrue="1">
      <formula>LEFT(O5,1)="🟢"</formula>
    </cfRule>
    <cfRule type="expression" dxfId="6" priority="19" stopIfTrue="1">
      <formula>LEFT(O5,1)="🟡"</formula>
    </cfRule>
    <cfRule type="expression" dxfId="5" priority="20" stopIfTrue="1">
      <formula>LEFT(O5,1)="🚩"</formula>
    </cfRule>
    <cfRule type="expression" dxfId="4" priority="21" stopIfTrue="1">
      <formula>LEFT(O5,1)="🟠"</formula>
    </cfRule>
    <cfRule type="expression" dxfId="3" priority="22" stopIfTrue="1">
      <formula>LEFT(O5,1)="🔴"</formula>
    </cfRule>
  </conditionalFormatting>
  <conditionalFormatting sqref="P5:P20">
    <cfRule type="expression" dxfId="2" priority="15">
      <formula>P5=""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E43" sqref="E43"/>
    </sheetView>
  </sheetViews>
  <sheetFormatPr baseColWidth="10" defaultColWidth="9.140625" defaultRowHeight="15"/>
  <cols>
    <col min="1" max="1" width="22.42578125" customWidth="1"/>
    <col min="2" max="2" width="12" customWidth="1"/>
    <col min="3" max="3" width="14" customWidth="1"/>
    <col min="4" max="4" width="12" customWidth="1"/>
    <col min="5" max="5" width="14" customWidth="1"/>
  </cols>
  <sheetData>
    <row r="1" spans="1:5" ht="18.75" customHeight="1">
      <c r="A1" s="43" t="s">
        <v>83</v>
      </c>
    </row>
    <row r="3" spans="1:5">
      <c r="A3" s="44" t="s">
        <v>1</v>
      </c>
      <c r="B3" s="44" t="s">
        <v>2</v>
      </c>
      <c r="C3" s="44" t="s">
        <v>84</v>
      </c>
      <c r="D3" s="44" t="s">
        <v>85</v>
      </c>
      <c r="E3" s="44" t="s">
        <v>86</v>
      </c>
    </row>
    <row r="4" spans="1:5">
      <c r="A4" s="45" t="str">
        <f>'Portfolio &amp; Rebalancing'!A5</f>
        <v>EUWAX Gold</v>
      </c>
      <c r="B4" s="46" t="str">
        <f>'Portfolio &amp; Rebalancing'!B5</f>
        <v>EWG2</v>
      </c>
      <c r="C4" s="47">
        <f>'Portfolio &amp; Rebalancing'!F5</f>
        <v>582</v>
      </c>
      <c r="D4" s="48">
        <f>'Portfolio &amp; Rebalancing'!E5</f>
        <v>0</v>
      </c>
      <c r="E4" s="47">
        <f t="shared" ref="E4:E19" si="0">C4*D4</f>
        <v>0</v>
      </c>
    </row>
    <row r="5" spans="1:5">
      <c r="A5" s="45" t="str">
        <f>'Portfolio &amp; Rebalancing'!A6</f>
        <v>iShares MSCI World</v>
      </c>
      <c r="B5" s="46" t="str">
        <f>'Portfolio &amp; Rebalancing'!B6</f>
        <v>IWDA</v>
      </c>
      <c r="C5" s="47">
        <f>'Portfolio &amp; Rebalancing'!F6</f>
        <v>3675.72</v>
      </c>
      <c r="D5" s="48">
        <f>'Portfolio &amp; Rebalancing'!E6</f>
        <v>0.7</v>
      </c>
      <c r="E5" s="47">
        <f t="shared" si="0"/>
        <v>2573.0039999999999</v>
      </c>
    </row>
    <row r="6" spans="1:5">
      <c r="A6" s="45" t="str">
        <f>'Portfolio &amp; Rebalancing'!A7</f>
        <v>iShares MSCI EM IMI</v>
      </c>
      <c r="B6" s="46" t="str">
        <f>'Portfolio &amp; Rebalancing'!B7</f>
        <v>EIMI</v>
      </c>
      <c r="C6" s="47">
        <f>'Portfolio &amp; Rebalancing'!F7</f>
        <v>1228.3</v>
      </c>
      <c r="D6" s="48">
        <f>'Portfolio &amp; Rebalancing'!E7</f>
        <v>0</v>
      </c>
      <c r="E6" s="47">
        <f t="shared" si="0"/>
        <v>0</v>
      </c>
    </row>
    <row r="7" spans="1:5">
      <c r="A7" s="45" t="str">
        <f>'Portfolio &amp; Rebalancing'!A8</f>
        <v>MSCI World ex-USA</v>
      </c>
      <c r="B7" s="46" t="str">
        <f>'Portfolio &amp; Rebalancing'!B8</f>
        <v>EXUSA</v>
      </c>
      <c r="C7" s="47">
        <f>'Portfolio &amp; Rebalancing'!F8</f>
        <v>1769.44</v>
      </c>
      <c r="D7" s="48">
        <f>'Portfolio &amp; Rebalancing'!E8</f>
        <v>0</v>
      </c>
      <c r="E7" s="47">
        <f t="shared" si="0"/>
        <v>0</v>
      </c>
    </row>
    <row r="8" spans="1:5">
      <c r="A8" s="45" t="str">
        <f>'Portfolio &amp; Rebalancing'!A9</f>
        <v>Avantis Small Cap Value</v>
      </c>
      <c r="B8" s="46" t="str">
        <f>'Portfolio &amp; Rebalancing'!B9</f>
        <v>AVGC</v>
      </c>
      <c r="C8" s="47">
        <f>'Portfolio &amp; Rebalancing'!F9</f>
        <v>1187</v>
      </c>
      <c r="D8" s="48">
        <f>'Portfolio &amp; Rebalancing'!E9</f>
        <v>0.67</v>
      </c>
      <c r="E8" s="47">
        <f t="shared" si="0"/>
        <v>795.29000000000008</v>
      </c>
    </row>
    <row r="9" spans="1:5">
      <c r="A9" s="45" t="str">
        <f>'Portfolio &amp; Rebalancing'!A10</f>
        <v>ASML Holding</v>
      </c>
      <c r="B9" s="46" t="str">
        <f>'Portfolio &amp; Rebalancing'!B10</f>
        <v>ASML</v>
      </c>
      <c r="C9" s="47">
        <f>'Portfolio &amp; Rebalancing'!F10</f>
        <v>443</v>
      </c>
      <c r="D9" s="48">
        <f>'Portfolio &amp; Rebalancing'!E10</f>
        <v>0</v>
      </c>
      <c r="E9" s="47">
        <f t="shared" si="0"/>
        <v>0</v>
      </c>
    </row>
    <row r="10" spans="1:5">
      <c r="A10" s="45" t="str">
        <f>'Portfolio &amp; Rebalancing'!A11</f>
        <v>Broadcom</v>
      </c>
      <c r="B10" s="46" t="str">
        <f>'Portfolio &amp; Rebalancing'!B11</f>
        <v>AVGO</v>
      </c>
      <c r="C10" s="47">
        <f>'Portfolio &amp; Rebalancing'!F11</f>
        <v>516</v>
      </c>
      <c r="D10" s="48">
        <f>'Portfolio &amp; Rebalancing'!E11</f>
        <v>1</v>
      </c>
      <c r="E10" s="47">
        <f t="shared" si="0"/>
        <v>516</v>
      </c>
    </row>
    <row r="11" spans="1:5">
      <c r="A11" s="45" t="str">
        <f>'Portfolio &amp; Rebalancing'!A12</f>
        <v>Microsoft</v>
      </c>
      <c r="B11" s="46" t="str">
        <f>'Portfolio &amp; Rebalancing'!B12</f>
        <v>MSFT</v>
      </c>
      <c r="C11" s="47">
        <f>'Portfolio &amp; Rebalancing'!F12</f>
        <v>387</v>
      </c>
      <c r="D11" s="48">
        <f>'Portfolio &amp; Rebalancing'!E12</f>
        <v>1</v>
      </c>
      <c r="E11" s="47">
        <f t="shared" si="0"/>
        <v>387</v>
      </c>
    </row>
    <row r="12" spans="1:5">
      <c r="A12" s="45" t="str">
        <f>'Portfolio &amp; Rebalancing'!A13</f>
        <v>Costco</v>
      </c>
      <c r="B12" s="46" t="str">
        <f>'Portfolio &amp; Rebalancing'!B13</f>
        <v>COST</v>
      </c>
      <c r="C12" s="47">
        <f>'Portfolio &amp; Rebalancing'!F13</f>
        <v>404</v>
      </c>
      <c r="D12" s="48">
        <f>'Portfolio &amp; Rebalancing'!E13</f>
        <v>1</v>
      </c>
      <c r="E12" s="47">
        <f t="shared" si="0"/>
        <v>404</v>
      </c>
    </row>
    <row r="13" spans="1:5">
      <c r="A13" s="45" t="str">
        <f>'Portfolio &amp; Rebalancing'!A14</f>
        <v>Hermès</v>
      </c>
      <c r="B13" s="46" t="str">
        <f>'Portfolio &amp; Rebalancing'!B14</f>
        <v>RMS</v>
      </c>
      <c r="C13" s="47">
        <f>'Portfolio &amp; Rebalancing'!F14</f>
        <v>394</v>
      </c>
      <c r="D13" s="48">
        <f>'Portfolio &amp; Rebalancing'!E14</f>
        <v>0</v>
      </c>
      <c r="E13" s="47">
        <f t="shared" si="0"/>
        <v>0</v>
      </c>
    </row>
    <row r="14" spans="1:5">
      <c r="A14" s="45" t="str">
        <f>'Portfolio &amp; Rebalancing'!A15</f>
        <v>Veeva Systems</v>
      </c>
      <c r="B14" s="46" t="str">
        <f>'Portfolio &amp; Rebalancing'!B15</f>
        <v>VEEV</v>
      </c>
      <c r="C14" s="47">
        <f>'Portfolio &amp; Rebalancing'!F15</f>
        <v>322</v>
      </c>
      <c r="D14" s="48">
        <f>'Portfolio &amp; Rebalancing'!E15</f>
        <v>1</v>
      </c>
      <c r="E14" s="47">
        <f t="shared" si="0"/>
        <v>322</v>
      </c>
    </row>
    <row r="15" spans="1:5">
      <c r="A15" s="45" t="str">
        <f>'Portfolio &amp; Rebalancing'!A16</f>
        <v>Schneider Electric</v>
      </c>
      <c r="B15" s="46" t="str">
        <f>'Portfolio &amp; Rebalancing'!B16</f>
        <v>SU</v>
      </c>
      <c r="C15" s="47">
        <f>'Portfolio &amp; Rebalancing'!F16</f>
        <v>407</v>
      </c>
      <c r="D15" s="48">
        <f>'Portfolio &amp; Rebalancing'!E16</f>
        <v>0</v>
      </c>
      <c r="E15" s="47">
        <f t="shared" si="0"/>
        <v>0</v>
      </c>
    </row>
    <row r="16" spans="1:5">
      <c r="A16" s="45" t="str">
        <f>'Portfolio &amp; Rebalancing'!A17</f>
        <v>Berkshire Hathaway</v>
      </c>
      <c r="B16" s="46" t="str">
        <f>'Portfolio &amp; Rebalancing'!B17</f>
        <v>BRK.B</v>
      </c>
      <c r="C16" s="47">
        <f>'Portfolio &amp; Rebalancing'!F17</f>
        <v>440</v>
      </c>
      <c r="D16" s="48">
        <f>'Portfolio &amp; Rebalancing'!E17</f>
        <v>1</v>
      </c>
      <c r="E16" s="47">
        <f t="shared" si="0"/>
        <v>440</v>
      </c>
    </row>
    <row r="17" spans="1:5">
      <c r="A17" s="45" t="str">
        <f>'Portfolio &amp; Rebalancing'!A18</f>
        <v>Visa</v>
      </c>
      <c r="B17" s="46" t="str">
        <f>'Portfolio &amp; Rebalancing'!B18</f>
        <v>V</v>
      </c>
      <c r="C17" s="47">
        <f>'Portfolio &amp; Rebalancing'!F18</f>
        <v>478</v>
      </c>
      <c r="D17" s="48">
        <f>'Portfolio &amp; Rebalancing'!E18</f>
        <v>1</v>
      </c>
      <c r="E17" s="47">
        <f t="shared" si="0"/>
        <v>478</v>
      </c>
    </row>
    <row r="18" spans="1:5">
      <c r="A18" s="45" t="str">
        <f>'Portfolio &amp; Rebalancing'!A19</f>
        <v>Thermo Fisher</v>
      </c>
      <c r="B18" s="46" t="str">
        <f>'Portfolio &amp; Rebalancing'!B19</f>
        <v>TMO</v>
      </c>
      <c r="C18" s="47">
        <f>'Portfolio &amp; Rebalancing'!F19</f>
        <v>305</v>
      </c>
      <c r="D18" s="48">
        <f>'Portfolio &amp; Rebalancing'!E19</f>
        <v>1</v>
      </c>
      <c r="E18" s="47">
        <f t="shared" si="0"/>
        <v>305</v>
      </c>
    </row>
    <row r="19" spans="1:5">
      <c r="A19" s="45" t="str">
        <f>'Portfolio &amp; Rebalancing'!A20</f>
        <v>Amphenol</v>
      </c>
      <c r="B19" s="46" t="str">
        <f>'Portfolio &amp; Rebalancing'!B20</f>
        <v>APH</v>
      </c>
      <c r="C19" s="47">
        <f>'Portfolio &amp; Rebalancing'!F20</f>
        <v>297</v>
      </c>
      <c r="D19" s="48">
        <f>'Portfolio &amp; Rebalancing'!E20</f>
        <v>1</v>
      </c>
      <c r="E19" s="47">
        <f t="shared" si="0"/>
        <v>297</v>
      </c>
    </row>
    <row r="20" spans="1:5">
      <c r="A20" s="49" t="s">
        <v>87</v>
      </c>
      <c r="C20" s="50">
        <f>'Portfolio &amp; Rebalancing'!F21</f>
        <v>12835.46</v>
      </c>
      <c r="E20" s="50">
        <f>SUM(E4:E19)</f>
        <v>6517.2939999999999</v>
      </c>
    </row>
    <row r="22" spans="1:5">
      <c r="A22" s="49" t="s">
        <v>88</v>
      </c>
      <c r="B22" s="51">
        <f>IF('Portfolio &amp; Rebalancing'!F25=0,0,E20/'Portfolio &amp; Rebalancing'!F25)</f>
        <v>0.47276579816705427</v>
      </c>
    </row>
    <row r="23" spans="1:5">
      <c r="A23" s="49" t="s">
        <v>89</v>
      </c>
      <c r="B23" s="51">
        <f>SUMPRODUCT('Portfolio &amp; Rebalancing'!$E$5:$E$20,'Portfolio &amp; Rebalancing'!$I$5:$I$20)/SUM('Portfolio &amp; Rebalancing'!$I$5:$I$20)</f>
        <v>0.49509999999999998</v>
      </c>
    </row>
    <row r="24" spans="1:5">
      <c r="A24" s="49" t="s">
        <v>90</v>
      </c>
      <c r="B24" s="52">
        <f>'Parameter &amp; Regeln'!B11</f>
        <v>0.63</v>
      </c>
    </row>
    <row r="25" spans="1:5">
      <c r="A25" s="49" t="s">
        <v>91</v>
      </c>
      <c r="B25" s="49" t="str">
        <f>IF(B22&gt;B24,"⛔ ÜBER CAP","✅ OK")</f>
        <v>✅ OK</v>
      </c>
    </row>
    <row r="26" spans="1:5">
      <c r="A26" s="49" t="s">
        <v>92</v>
      </c>
      <c r="B26" s="49" t="str">
        <f>IF(B23&gt;B24,"⛔ ZIEL ÜBER CAP","✅ Ziel OK")</f>
        <v>✅ Ziel OK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>
      <selection activeCell="B26" sqref="B26"/>
    </sheetView>
  </sheetViews>
  <sheetFormatPr baseColWidth="10" defaultColWidth="9.140625" defaultRowHeight="15"/>
  <cols>
    <col min="1" max="1" width="44.85546875" customWidth="1"/>
    <col min="2" max="2" width="27.7109375" customWidth="1"/>
    <col min="3" max="3" width="37.42578125" customWidth="1"/>
  </cols>
  <sheetData>
    <row r="1" spans="1:3" ht="18.75" customHeight="1">
      <c r="A1" s="43" t="s">
        <v>93</v>
      </c>
    </row>
    <row r="3" spans="1:3">
      <c r="A3" s="44" t="s">
        <v>94</v>
      </c>
      <c r="B3" s="44" t="s">
        <v>95</v>
      </c>
      <c r="C3" s="44" t="s">
        <v>96</v>
      </c>
    </row>
    <row r="4" spans="1:3">
      <c r="A4" s="45" t="s">
        <v>97</v>
      </c>
      <c r="B4" s="53">
        <v>950</v>
      </c>
      <c r="C4" s="54" t="s">
        <v>98</v>
      </c>
    </row>
    <row r="5" spans="1:3">
      <c r="A5" s="45" t="s">
        <v>99</v>
      </c>
      <c r="B5" s="55">
        <v>0.65</v>
      </c>
      <c r="C5" s="54" t="s">
        <v>100</v>
      </c>
    </row>
    <row r="6" spans="1:3">
      <c r="A6" s="45" t="s">
        <v>101</v>
      </c>
      <c r="B6" s="55">
        <v>0.3</v>
      </c>
      <c r="C6" s="54" t="s">
        <v>100</v>
      </c>
    </row>
    <row r="7" spans="1:3">
      <c r="A7" s="45" t="s">
        <v>102</v>
      </c>
      <c r="B7" s="55">
        <v>0.05</v>
      </c>
      <c r="C7" s="54" t="s">
        <v>100</v>
      </c>
    </row>
    <row r="8" spans="1:3">
      <c r="A8" s="45" t="s">
        <v>103</v>
      </c>
      <c r="B8" s="56">
        <v>1.4999999999999999E-2</v>
      </c>
      <c r="C8" s="54" t="s">
        <v>100</v>
      </c>
    </row>
    <row r="9" spans="1:3">
      <c r="A9" s="45" t="s">
        <v>104</v>
      </c>
      <c r="B9" s="56">
        <v>0.04</v>
      </c>
      <c r="C9" s="54" t="s">
        <v>100</v>
      </c>
    </row>
    <row r="10" spans="1:3">
      <c r="A10" s="45" t="s">
        <v>105</v>
      </c>
      <c r="B10" s="55">
        <v>0.1</v>
      </c>
      <c r="C10" s="54" t="s">
        <v>100</v>
      </c>
    </row>
    <row r="11" spans="1:3">
      <c r="A11" s="45" t="s">
        <v>90</v>
      </c>
      <c r="B11" s="55">
        <v>0.63</v>
      </c>
      <c r="C11" s="54" t="s">
        <v>100</v>
      </c>
    </row>
    <row r="12" spans="1:3">
      <c r="A12" s="45" t="s">
        <v>106</v>
      </c>
      <c r="B12" s="54">
        <v>11</v>
      </c>
    </row>
    <row r="13" spans="1:3">
      <c r="A13" s="45" t="s">
        <v>107</v>
      </c>
      <c r="B13" s="54">
        <f>COUNTIF('Portfolio &amp; Rebalancing'!C5:C20,"Aktie")</f>
        <v>11</v>
      </c>
    </row>
    <row r="14" spans="1:3">
      <c r="A14" s="45" t="s">
        <v>108</v>
      </c>
      <c r="B14" s="57">
        <f>COUNTA('Portfolio &amp; Rebalancing'!A5:A20)</f>
        <v>16</v>
      </c>
    </row>
    <row r="15" spans="1:3">
      <c r="A15" s="45" t="s">
        <v>109</v>
      </c>
      <c r="B15" s="57">
        <v>3</v>
      </c>
      <c r="C15" s="54" t="s">
        <v>110</v>
      </c>
    </row>
    <row r="16" spans="1:3">
      <c r="A16" s="45" t="s">
        <v>111</v>
      </c>
      <c r="B16" s="55">
        <f>B5+B6+B7</f>
        <v>1</v>
      </c>
      <c r="C16" s="54" t="s">
        <v>100</v>
      </c>
    </row>
    <row r="17" spans="1:3" ht="15.75" customHeight="1">
      <c r="A17" s="58" t="s">
        <v>112</v>
      </c>
    </row>
    <row r="19" spans="1:3">
      <c r="A19" s="59" t="s">
        <v>113</v>
      </c>
      <c r="B19" s="59" t="s">
        <v>114</v>
      </c>
      <c r="C19" s="59" t="s">
        <v>12</v>
      </c>
    </row>
    <row r="20" spans="1:3">
      <c r="A20" s="45" t="s">
        <v>115</v>
      </c>
      <c r="B20" s="54" t="s">
        <v>116</v>
      </c>
      <c r="C20" s="54" t="s">
        <v>117</v>
      </c>
    </row>
    <row r="21" spans="1:3">
      <c r="A21" s="45" t="s">
        <v>118</v>
      </c>
      <c r="B21" s="54" t="s">
        <v>119</v>
      </c>
      <c r="C21" s="54" t="s">
        <v>120</v>
      </c>
    </row>
    <row r="22" spans="1:3">
      <c r="A22" s="45" t="s">
        <v>121</v>
      </c>
      <c r="B22" s="54" t="s">
        <v>122</v>
      </c>
      <c r="C22" s="54" t="s">
        <v>123</v>
      </c>
    </row>
    <row r="23" spans="1:3">
      <c r="A23" s="45" t="s">
        <v>124</v>
      </c>
      <c r="B23" s="54" t="s">
        <v>125</v>
      </c>
      <c r="C23" s="54" t="s">
        <v>126</v>
      </c>
    </row>
    <row r="25" spans="1:3">
      <c r="A25" s="60" t="s">
        <v>127</v>
      </c>
      <c r="B25" s="66">
        <f>B4*B6</f>
        <v>285</v>
      </c>
      <c r="C25" s="61" t="s">
        <v>98</v>
      </c>
    </row>
    <row r="26" spans="1:3">
      <c r="A26" s="60" t="s">
        <v>128</v>
      </c>
      <c r="B26" s="68">
        <f>COUNTIFS('Portfolio &amp; Rebalancing'!C5:C20,"Aktie",'Portfolio &amp; Rebalancing'!N5:N20,"DEFCON 4*",'Portfolio &amp; Rebalancing'!O5:O20,"&lt;&gt;🔴*")+COUNTIFS('Portfolio &amp; Rebalancing'!C5:C20,"Aktie",'Portfolio &amp; Rebalancing'!N5:N20,"DEFCON 3*",'Portfolio &amp; Rebalancing'!O5:O20,"&lt;&gt;🔴*")</f>
        <v>7</v>
      </c>
    </row>
    <row r="27" spans="1:3">
      <c r="A27" s="62" t="s">
        <v>129</v>
      </c>
      <c r="B27" s="67">
        <v>0.5</v>
      </c>
      <c r="C27" s="65" t="s">
        <v>100</v>
      </c>
    </row>
    <row r="28" spans="1:3">
      <c r="A28" s="63" t="s">
        <v>130</v>
      </c>
    </row>
    <row r="29" spans="1:3">
      <c r="A29" s="62" t="s">
        <v>131</v>
      </c>
      <c r="B29" s="64" t="s">
        <v>132</v>
      </c>
      <c r="C29" s="62" t="s">
        <v>133</v>
      </c>
    </row>
    <row r="30" spans="1:3">
      <c r="A30" s="62" t="s">
        <v>134</v>
      </c>
      <c r="B30" s="64" t="s">
        <v>135</v>
      </c>
      <c r="C30" s="62" t="s">
        <v>136</v>
      </c>
    </row>
    <row r="31" spans="1:3">
      <c r="A31" s="62" t="s">
        <v>137</v>
      </c>
      <c r="B31" s="64" t="s">
        <v>138</v>
      </c>
      <c r="C31" s="62" t="s">
        <v>139</v>
      </c>
    </row>
    <row r="32" spans="1:3">
      <c r="A32" s="62" t="s">
        <v>140</v>
      </c>
      <c r="B32" s="64" t="s">
        <v>138</v>
      </c>
      <c r="C32" s="62" t="s">
        <v>141</v>
      </c>
    </row>
  </sheetData>
  <conditionalFormatting sqref="B16">
    <cfRule type="expression" dxfId="1" priority="1">
      <formula>B16=1</formula>
    </cfRule>
    <cfRule type="expression" dxfId="0" priority="2">
      <formula>B16&lt;&gt;1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Portfolio &amp; Rebalancing</vt:lpstr>
      <vt:lpstr>US-Exposure</vt:lpstr>
      <vt:lpstr>Parameter &amp; Regeln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Kowalski</cp:lastModifiedBy>
  <dcterms:created xsi:type="dcterms:W3CDTF">2026-04-15T01:26:03Z</dcterms:created>
  <dcterms:modified xsi:type="dcterms:W3CDTF">2026-05-17T21:59:19Z</dcterms:modified>
</cp:coreProperties>
</file>