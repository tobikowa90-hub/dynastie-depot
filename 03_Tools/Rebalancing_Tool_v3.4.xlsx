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83DC77EC-8547-4709-9038-E815317B0BC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E16" i="2" s="1"/>
  <c r="C16" i="2"/>
  <c r="B16" i="2"/>
  <c r="A16" i="2"/>
  <c r="E15" i="2"/>
  <c r="D15" i="2"/>
  <c r="C15" i="2"/>
  <c r="B15" i="2"/>
  <c r="A15" i="2"/>
  <c r="E14" i="2"/>
  <c r="D14" i="2"/>
  <c r="C14" i="2"/>
  <c r="B14" i="2"/>
  <c r="A14" i="2"/>
  <c r="E13" i="2"/>
  <c r="D13" i="2"/>
  <c r="C13" i="2"/>
  <c r="B13" i="2"/>
  <c r="A13" i="2"/>
  <c r="D12" i="2"/>
  <c r="C12" i="2"/>
  <c r="E12" i="2" s="1"/>
  <c r="B12" i="2"/>
  <c r="A12" i="2"/>
  <c r="E11" i="2"/>
  <c r="D11" i="2"/>
  <c r="C11" i="2"/>
  <c r="B11" i="2"/>
  <c r="A11" i="2"/>
  <c r="D10" i="2"/>
  <c r="E10" i="2" s="1"/>
  <c r="C10" i="2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P19" i="1"/>
  <c r="P18" i="1"/>
  <c r="P17" i="1"/>
  <c r="P16" i="1"/>
  <c r="P15" i="1"/>
  <c r="P14" i="1"/>
  <c r="P13" i="1"/>
  <c r="P12" i="1"/>
  <c r="P11" i="1"/>
  <c r="P10" i="1"/>
  <c r="P21" i="1" s="1"/>
  <c r="P9" i="1"/>
  <c r="M9" i="1"/>
  <c r="P8" i="1"/>
  <c r="M8" i="1"/>
  <c r="P7" i="1"/>
  <c r="M7" i="1"/>
  <c r="P6" i="1"/>
  <c r="M6" i="1"/>
  <c r="P5" i="1"/>
  <c r="M5" i="1"/>
  <c r="E20" i="2" l="1"/>
  <c r="M22" i="1"/>
  <c r="F25" i="1"/>
  <c r="G20" i="1" l="1"/>
  <c r="I13" i="1"/>
  <c r="J13" i="1" s="1"/>
  <c r="G15" i="1"/>
  <c r="I8" i="1"/>
  <c r="J8" i="1" s="1"/>
  <c r="I17" i="1"/>
  <c r="J17" i="1" s="1"/>
  <c r="G17" i="1"/>
  <c r="I10" i="1"/>
  <c r="J10" i="1" s="1"/>
  <c r="I19" i="1"/>
  <c r="J19" i="1" s="1"/>
  <c r="G10" i="1"/>
  <c r="G19" i="1"/>
  <c r="I12" i="1"/>
  <c r="J12" i="1" s="1"/>
  <c r="G12" i="1"/>
  <c r="I5" i="1"/>
  <c r="B22" i="2"/>
  <c r="B25" i="2" s="1"/>
  <c r="I14" i="1"/>
  <c r="J14" i="1" s="1"/>
  <c r="G14" i="1"/>
  <c r="I7" i="1"/>
  <c r="J7" i="1" s="1"/>
  <c r="G7" i="1"/>
  <c r="K7" i="1" s="1"/>
  <c r="L7" i="1" s="1"/>
  <c r="G16" i="1"/>
  <c r="I9" i="1"/>
  <c r="J9" i="1" s="1"/>
  <c r="I16" i="1"/>
  <c r="J16" i="1" s="1"/>
  <c r="G6" i="1"/>
  <c r="K6" i="1" s="1"/>
  <c r="L6" i="1" s="1"/>
  <c r="G8" i="1"/>
  <c r="K8" i="1" s="1"/>
  <c r="L8" i="1" s="1"/>
  <c r="G9" i="1"/>
  <c r="K9" i="1" s="1"/>
  <c r="L9" i="1" s="1"/>
  <c r="G11" i="1"/>
  <c r="G13" i="1"/>
  <c r="I6" i="1"/>
  <c r="J6" i="1" s="1"/>
  <c r="I15" i="1"/>
  <c r="J15" i="1" s="1"/>
  <c r="G5" i="1"/>
  <c r="I18" i="1"/>
  <c r="J18" i="1" s="1"/>
  <c r="G18" i="1"/>
  <c r="I11" i="1"/>
  <c r="J11" i="1" s="1"/>
  <c r="I20" i="1"/>
  <c r="J20" i="1" s="1"/>
  <c r="M14" i="1" l="1"/>
  <c r="K14" i="1"/>
  <c r="L14" i="1" s="1"/>
  <c r="K5" i="1"/>
  <c r="G21" i="1"/>
  <c r="M11" i="1"/>
  <c r="K11" i="1"/>
  <c r="L11" i="1" s="1"/>
  <c r="I21" i="1"/>
  <c r="B23" i="2"/>
  <c r="B26" i="2" s="1"/>
  <c r="J5" i="1"/>
  <c r="M12" i="1"/>
  <c r="K12" i="1"/>
  <c r="L12" i="1" s="1"/>
  <c r="K10" i="1"/>
  <c r="L10" i="1" s="1"/>
  <c r="M10" i="1"/>
  <c r="M21" i="1" s="1"/>
  <c r="M18" i="1"/>
  <c r="K18" i="1"/>
  <c r="L18" i="1" s="1"/>
  <c r="M13" i="1"/>
  <c r="K13" i="1"/>
  <c r="L13" i="1" s="1"/>
  <c r="K19" i="1"/>
  <c r="L19" i="1" s="1"/>
  <c r="M19" i="1"/>
  <c r="M16" i="1"/>
  <c r="K16" i="1"/>
  <c r="L16" i="1" s="1"/>
  <c r="M17" i="1"/>
  <c r="K17" i="1"/>
  <c r="L17" i="1" s="1"/>
  <c r="K15" i="1"/>
  <c r="L15" i="1" s="1"/>
  <c r="M15" i="1"/>
  <c r="M20" i="1"/>
  <c r="K20" i="1"/>
  <c r="L20" i="1" s="1"/>
  <c r="K21" i="1" l="1"/>
  <c r="L5" i="1"/>
  <c r="K22" i="1"/>
  <c r="J21" i="1"/>
  <c r="F26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<sst xmlns="http://schemas.openxmlformats.org/spreadsheetml/2006/main" count="186" uniqueCount="140">
  <si>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</si>
  <si>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</si>
  <si>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</si>
  <si>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</si>
  <si>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</si>
  <si>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</si>
  <si>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</si>
  <si>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</si>
  <si>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</si>
  <si>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</si>
  <si>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</si>
  <si>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</si>
  <si>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</si>
  <si>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</si>
  <si>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</si>
  <si>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</si>
  <si>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</si>
  <si>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</si>
  <si>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</si>
  <si>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</si>
  <si>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</si>
  <si>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</si>
  <si>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</si>
  <si>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</si>
  <si>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</si>
  <si>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</si>
  <si>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</si>
  <si>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</si>
  <si>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</si>
  <si>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</si>
  <si>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</si>
  <si>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</si>
  <si>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</si>
  <si>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</si>
  <si>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</si>
  <si>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</si>
  <si>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</si>
  <si>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</si>
  <si>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(86) | Insider-Check Q3</t>
  </si>
  <si>
    <t>✅ Clean</t>
  </si>
  <si>
    <t>Microsoft</t>
  </si>
  <si>
    <t>MSFT</t>
  </si>
  <si>
    <t>DEFCON 2 (60)</t>
  </si>
  <si>
    <t>🔴 FLAG: CapEx/OCF &gt;60% | Score 60 | DEFCON 2 | Re-Check 29.04.</t>
  </si>
  <si>
    <t>Costco</t>
  </si>
  <si>
    <t>COST</t>
  </si>
  <si>
    <t>DEFCON 4 (69) | MY 15.2% &gt; WACC</t>
  </si>
  <si>
    <t>Hermès</t>
  </si>
  <si>
    <t>RMS</t>
  </si>
  <si>
    <t>DEFCON 4 (69) | Q1 Miss: −8.4% | Moat intakt</t>
  </si>
  <si>
    <t>✅ Clean | Re-Analyse 15.04.2026 | Score −2</t>
  </si>
  <si>
    <t>Veeva Systems</t>
  </si>
  <si>
    <t>VEEV</t>
  </si>
  <si>
    <t>DEFCON 4 (74)</t>
  </si>
  <si>
    <t>Schneider Electric</t>
  </si>
  <si>
    <t>SU</t>
  </si>
  <si>
    <t>DEFCON 4 (71)</t>
  </si>
  <si>
    <t>Berkshire Hathaway</t>
  </si>
  <si>
    <t>BRK.B</t>
  </si>
  <si>
    <t>DEFCON 4 (75) | Abel Käufe $15.3M</t>
  </si>
  <si>
    <t>Visa</t>
  </si>
  <si>
    <t>V</t>
  </si>
  <si>
    <t>DEFCON 4 (86)</t>
  </si>
  <si>
    <t>Thermo Fisher</t>
  </si>
  <si>
    <t>TMO</t>
  </si>
  <si>
    <t>DEFCON 3 (67)</t>
  </si>
  <si>
    <t>🟡 DEFCON 3 (67) | Clario-Watch | Re-Analyse 23.04.</t>
  </si>
  <si>
    <t>Amphenol</t>
  </si>
  <si>
    <t>APH</t>
  </si>
  <si>
    <t>DEFCON 3 (61)</t>
  </si>
  <si>
    <t>🔴 FLAG: Score 61 (DEFCON 3)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</si>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</sst>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165" fontId="16" fillId="0" borderId="0" xfId="0" applyNumberFormat="1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9" fontId="5" fillId="0" borderId="0" xfId="0" applyNumberFormat="1" applyFont="1"/>
    <xf numFmtId="0" fontId="11" fillId="13" borderId="0" xfId="0" applyFont="1" applyFill="1"/>
    <xf numFmtId="0" fontId="18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O37" sqref="O37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3.5" customHeight="1" x14ac:dyDescent="0.25">
      <c r="A2" s="70">
        <v>46127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507</v>
      </c>
      <c r="G5" s="6">
        <f t="shared" ref="G5:G20" si="0">IF(F$25=0,0,F5/F$25)</f>
        <v>4.4812648657344099E-2</v>
      </c>
      <c r="H5" s="6">
        <v>0.05</v>
      </c>
      <c r="I5" s="5">
        <f t="shared" ref="I5:I20" si="1">H5*F$25</f>
        <v>565.68850000000009</v>
      </c>
      <c r="J5" s="5">
        <f t="shared" ref="J5:J20" si="2">I5-F5</f>
        <v>58.68850000000009</v>
      </c>
      <c r="K5" s="6">
        <f t="shared" ref="K5:K20" si="3">G5-H5</f>
        <v>-5.1873513426559034E-3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2792.3</v>
      </c>
      <c r="G6" s="12">
        <f t="shared" si="0"/>
        <v>0.24680544151065473</v>
      </c>
      <c r="H6" s="12">
        <v>0.3</v>
      </c>
      <c r="I6" s="11">
        <f t="shared" si="1"/>
        <v>3394.1309999999999</v>
      </c>
      <c r="J6" s="11">
        <f t="shared" si="2"/>
        <v>601.83099999999968</v>
      </c>
      <c r="K6" s="12">
        <f t="shared" si="3"/>
        <v>-5.3194558489345262E-2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913.01</v>
      </c>
      <c r="G7" s="12">
        <f t="shared" si="0"/>
        <v>8.0699006608760823E-2</v>
      </c>
      <c r="H7" s="12">
        <v>0.1</v>
      </c>
      <c r="I7" s="11">
        <f t="shared" si="1"/>
        <v>1131.3770000000002</v>
      </c>
      <c r="J7" s="11">
        <f t="shared" si="2"/>
        <v>218.36700000000019</v>
      </c>
      <c r="K7" s="12">
        <f t="shared" si="3"/>
        <v>-1.9300993391239182E-2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917.46</v>
      </c>
      <c r="G8" s="12">
        <f t="shared" si="0"/>
        <v>8.1092332617686239E-2</v>
      </c>
      <c r="H8" s="12">
        <v>0.15</v>
      </c>
      <c r="I8" s="11">
        <f t="shared" si="1"/>
        <v>1697.0654999999999</v>
      </c>
      <c r="J8" s="11">
        <f t="shared" si="2"/>
        <v>779.60549999999989</v>
      </c>
      <c r="K8" s="12">
        <f t="shared" si="3"/>
        <v>-6.8907667382313756E-2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8.8476255041422966E-2</v>
      </c>
      <c r="H9" s="12">
        <v>0.1</v>
      </c>
      <c r="I9" s="11">
        <f t="shared" si="1"/>
        <v>1131.3770000000002</v>
      </c>
      <c r="J9" s="11">
        <f t="shared" si="2"/>
        <v>130.37700000000018</v>
      </c>
      <c r="K9" s="12">
        <f t="shared" si="3"/>
        <v>-1.152374495857704E-2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364</v>
      </c>
      <c r="G10" s="18">
        <f t="shared" si="0"/>
        <v>3.2173183651426532E-2</v>
      </c>
      <c r="H10" s="18">
        <v>2.7300000000000001E-2</v>
      </c>
      <c r="I10" s="17">
        <f t="shared" si="1"/>
        <v>308.86592100000001</v>
      </c>
      <c r="J10" s="17">
        <f t="shared" si="2"/>
        <v>-55.134078999999986</v>
      </c>
      <c r="K10" s="18">
        <f t="shared" si="3"/>
        <v>4.8731836514265305E-3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356</v>
      </c>
      <c r="G11" s="24">
        <f t="shared" si="0"/>
        <v>3.1466080714032542E-2</v>
      </c>
      <c r="H11" s="24">
        <v>2.7300000000000001E-2</v>
      </c>
      <c r="I11" s="23">
        <f t="shared" si="1"/>
        <v>308.86592100000001</v>
      </c>
      <c r="J11" s="23">
        <f t="shared" si="2"/>
        <v>-47.134078999999986</v>
      </c>
      <c r="K11" s="24">
        <f t="shared" si="3"/>
        <v>4.1660807140325405E-3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301</v>
      </c>
      <c r="G12" s="18">
        <f t="shared" si="0"/>
        <v>2.6604748019448864E-2</v>
      </c>
      <c r="H12" s="18">
        <v>2.7300000000000001E-2</v>
      </c>
      <c r="I12" s="17">
        <f t="shared" si="1"/>
        <v>308.86592100000001</v>
      </c>
      <c r="J12" s="17">
        <f t="shared" si="2"/>
        <v>7.8659210000000144</v>
      </c>
      <c r="K12" s="18">
        <f t="shared" si="3"/>
        <v>-6.9525198055113771E-4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350</v>
      </c>
      <c r="G13" s="24">
        <f t="shared" si="0"/>
        <v>3.0935753510987051E-2</v>
      </c>
      <c r="H13" s="24">
        <v>2.7300000000000001E-2</v>
      </c>
      <c r="I13" s="23">
        <f t="shared" si="1"/>
        <v>308.86592100000001</v>
      </c>
      <c r="J13" s="23">
        <f t="shared" si="2"/>
        <v>-41.134078999999986</v>
      </c>
      <c r="K13" s="24">
        <f t="shared" si="3"/>
        <v>3.6357535109870498E-3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377</v>
      </c>
      <c r="G14" s="18">
        <f t="shared" si="0"/>
        <v>3.3322225924691772E-2</v>
      </c>
      <c r="H14" s="18">
        <v>2.7300000000000001E-2</v>
      </c>
      <c r="I14" s="17">
        <f t="shared" si="1"/>
        <v>308.86592100000001</v>
      </c>
      <c r="J14" s="17">
        <f t="shared" si="2"/>
        <v>-68.134078999999986</v>
      </c>
      <c r="K14" s="18">
        <f t="shared" si="3"/>
        <v>6.0222259246917702E-3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323</v>
      </c>
      <c r="G15" s="24">
        <f t="shared" si="0"/>
        <v>2.8549281097282338E-2</v>
      </c>
      <c r="H15" s="24">
        <v>2.7300000000000001E-2</v>
      </c>
      <c r="I15" s="23">
        <f t="shared" si="1"/>
        <v>308.86592100000001</v>
      </c>
      <c r="J15" s="23">
        <f t="shared" si="2"/>
        <v>-14.134078999999986</v>
      </c>
      <c r="K15" s="24">
        <f t="shared" si="3"/>
        <v>1.2492810972823364E-3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336</v>
      </c>
      <c r="G16" s="18">
        <f t="shared" si="0"/>
        <v>2.969832337054757E-2</v>
      </c>
      <c r="H16" s="18">
        <v>2.7300000000000001E-2</v>
      </c>
      <c r="I16" s="17">
        <f t="shared" si="1"/>
        <v>308.86592100000001</v>
      </c>
      <c r="J16" s="17">
        <f t="shared" si="2"/>
        <v>-27.134078999999986</v>
      </c>
      <c r="K16" s="18">
        <f t="shared" si="3"/>
        <v>2.3983233705475691E-3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403</v>
      </c>
      <c r="G17" s="24">
        <f t="shared" si="0"/>
        <v>3.5620310471222237E-2</v>
      </c>
      <c r="H17" s="24">
        <v>2.7300000000000001E-2</v>
      </c>
      <c r="I17" s="23">
        <f t="shared" si="1"/>
        <v>308.86592100000001</v>
      </c>
      <c r="J17" s="23">
        <f t="shared" si="2"/>
        <v>-94.134078999999986</v>
      </c>
      <c r="K17" s="24">
        <f t="shared" si="3"/>
        <v>8.3203104712222357E-3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416</v>
      </c>
      <c r="G18" s="18">
        <f t="shared" si="0"/>
        <v>3.676935274448747E-2</v>
      </c>
      <c r="H18" s="18">
        <v>2.7300000000000001E-2</v>
      </c>
      <c r="I18" s="17">
        <f t="shared" si="1"/>
        <v>308.86592100000001</v>
      </c>
      <c r="J18" s="17">
        <f t="shared" si="2"/>
        <v>-107.13407899999999</v>
      </c>
      <c r="K18" s="18">
        <f t="shared" si="3"/>
        <v>9.4693527444874685E-3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39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9" spans="1:16" ht="16.5" customHeight="1" x14ac:dyDescent="0.25">
      <c r="A19" s="20" t="s">
        <v>63</v>
      </c>
      <c r="B19" s="21" t="s">
        <v>64</v>
      </c>
      <c r="C19" s="21" t="s">
        <v>33</v>
      </c>
      <c r="D19" s="21" t="s">
        <v>20</v>
      </c>
      <c r="E19" s="22">
        <v>1</v>
      </c>
      <c r="F19" s="23">
        <v>258</v>
      </c>
      <c r="G19" s="24">
        <f t="shared" si="0"/>
        <v>2.280406973095617E-2</v>
      </c>
      <c r="H19" s="24">
        <v>2.7300000000000001E-2</v>
      </c>
      <c r="I19" s="23">
        <f t="shared" si="1"/>
        <v>308.86592100000001</v>
      </c>
      <c r="J19" s="23">
        <f t="shared" si="2"/>
        <v>50.865921000000014</v>
      </c>
      <c r="K19" s="24">
        <f t="shared" si="3"/>
        <v>-4.495930269043831E-3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65</v>
      </c>
      <c r="O19" s="21" t="s">
        <v>66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20" spans="1:16" ht="16.5" customHeight="1" x14ac:dyDescent="0.25">
      <c r="A20" s="14" t="s">
        <v>67</v>
      </c>
      <c r="B20" s="15" t="s">
        <v>68</v>
      </c>
      <c r="C20" s="15" t="s">
        <v>33</v>
      </c>
      <c r="D20" s="15" t="s">
        <v>20</v>
      </c>
      <c r="E20" s="16">
        <v>1</v>
      </c>
      <c r="F20" s="17">
        <v>249</v>
      </c>
      <c r="G20" s="18">
        <f t="shared" si="0"/>
        <v>2.2008578926387933E-2</v>
      </c>
      <c r="H20" s="18">
        <v>2.7E-2</v>
      </c>
      <c r="I20" s="17">
        <f t="shared" si="1"/>
        <v>305.47179</v>
      </c>
      <c r="J20" s="17">
        <f t="shared" si="2"/>
        <v>56.471789999999999</v>
      </c>
      <c r="K20" s="18">
        <f t="shared" si="3"/>
        <v>-4.9914210736120672E-3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69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9863.77</v>
      </c>
      <c r="G21" s="29">
        <f>SUM(G5:G20)</f>
        <v>0.87183759259733951</v>
      </c>
      <c r="H21" s="29">
        <f>SUM(H5:H20)</f>
        <v>0.99999999999999989</v>
      </c>
      <c r="I21" s="28">
        <f>SUM(I5:I20)</f>
        <v>11313.770000000004</v>
      </c>
      <c r="J21" s="28">
        <f>ROUND(SUM(J5:J20),2)</f>
        <v>1450</v>
      </c>
      <c r="K21" s="29">
        <f>SUMPRODUCT((C5:C20="Aktie")*ABS(K5:K20))/COUNTIF(C5:C20,"Aktie")</f>
        <v>4.5742831643531398E-3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4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3.1622863112826229E-2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947.77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11313.77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1145.7308679999996</v>
      </c>
    </row>
  </sheetData>
  <mergeCells count="2">
    <mergeCell ref="A1:P1"/>
    <mergeCell ref="A2:P2"/>
  </mergeCells>
  <conditionalFormatting sqref="L5:L20">
    <cfRule type="expression" dxfId="15" priority="2">
      <formula>NOT(ISERROR(SEARCH("Reduzieren",L5)))</formula>
    </cfRule>
    <cfRule type="expression" dxfId="14" priority="3">
      <formula>NOT(ISERROR(SEARCH("Aufstocken",L5)))</formula>
    </cfRule>
    <cfRule type="expression" dxfId="13" priority="4">
      <formula>NOT(ISERROR(SEARCH("Halten",L5)))</formula>
    </cfRule>
  </conditionalFormatting>
  <conditionalFormatting sqref="M5:M20">
    <cfRule type="expression" dxfId="12" priority="5">
      <formula>NOT(ISERROR(SEARCH("ÜBER CAP",M5)))</formula>
    </cfRule>
    <cfRule type="expression" dxfId="11" priority="6">
      <formula>NOT(ISERROR(SEARCH("OK",M5)))</formula>
    </cfRule>
  </conditionalFormatting>
  <conditionalFormatting sqref="N5:N20">
    <cfRule type="expression" dxfId="10" priority="7">
      <formula>LEFT(N5,8)="DEFCON 4"</formula>
    </cfRule>
    <cfRule type="expression" dxfId="9" priority="8">
      <formula>LEFT(N5,8)="DEFCON 3"</formula>
    </cfRule>
    <cfRule type="expression" dxfId="8" priority="9">
      <formula>LEFT(N5,8)="DEFCON 2"</formula>
    </cfRule>
    <cfRule type="expression" dxfId="7" priority="10">
      <formula>LEFT(N5,8)="DEFCON 1"</formula>
    </cfRule>
  </conditionalFormatting>
  <conditionalFormatting sqref="O5:O20">
    <cfRule type="expression" dxfId="6" priority="11">
      <formula>O5="✅ Clean"</formula>
    </cfRule>
    <cfRule type="expression" dxfId="5" priority="12">
      <formula>LEFT(O5,1)="🟡"</formula>
    </cfRule>
    <cfRule type="expression" dxfId="4" priority="13">
      <formula>LEFT(O5,2)="🚩"</formula>
    </cfRule>
    <cfRule type="expression" dxfId="3" priority="14">
      <formula>LEFT(O5,2)="🔴"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507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2792.3</v>
      </c>
      <c r="D5" s="48">
        <f>'Portfolio &amp; Rebalancing'!E6</f>
        <v>0.7</v>
      </c>
      <c r="E5" s="47">
        <f t="shared" si="0"/>
        <v>1954.61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913.01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917.46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364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356</v>
      </c>
      <c r="D10" s="48">
        <f>'Portfolio &amp; Rebalancing'!E11</f>
        <v>1</v>
      </c>
      <c r="E10" s="47">
        <f t="shared" si="0"/>
        <v>356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301</v>
      </c>
      <c r="D11" s="48">
        <f>'Portfolio &amp; Rebalancing'!E12</f>
        <v>1</v>
      </c>
      <c r="E11" s="47">
        <f t="shared" si="0"/>
        <v>301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350</v>
      </c>
      <c r="D12" s="48">
        <f>'Portfolio &amp; Rebalancing'!E13</f>
        <v>1</v>
      </c>
      <c r="E12" s="47">
        <f t="shared" si="0"/>
        <v>350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377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323</v>
      </c>
      <c r="D14" s="48">
        <f>'Portfolio &amp; Rebalancing'!E15</f>
        <v>1</v>
      </c>
      <c r="E14" s="47">
        <f t="shared" si="0"/>
        <v>323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336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403</v>
      </c>
      <c r="D16" s="48">
        <f>'Portfolio &amp; Rebalancing'!E17</f>
        <v>1</v>
      </c>
      <c r="E16" s="47">
        <f t="shared" si="0"/>
        <v>403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416</v>
      </c>
      <c r="D17" s="48">
        <f>'Portfolio &amp; Rebalancing'!E18</f>
        <v>1</v>
      </c>
      <c r="E17" s="47">
        <f t="shared" si="0"/>
        <v>416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258</v>
      </c>
      <c r="D18" s="48">
        <f>'Portfolio &amp; Rebalancing'!E19</f>
        <v>1</v>
      </c>
      <c r="E18" s="47">
        <f t="shared" si="0"/>
        <v>258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249</v>
      </c>
      <c r="D19" s="48">
        <f>'Portfolio &amp; Rebalancing'!E20</f>
        <v>1</v>
      </c>
      <c r="E19" s="47">
        <f t="shared" si="0"/>
        <v>249</v>
      </c>
    </row>
    <row r="20" spans="1:5" x14ac:dyDescent="0.25">
      <c r="A20" s="49" t="s">
        <v>85</v>
      </c>
      <c r="C20" s="50">
        <f>'Portfolio &amp; Rebalancing'!F21</f>
        <v>9863.77</v>
      </c>
      <c r="E20" s="50">
        <f>SUM(E4:E19)</f>
        <v>5281.28</v>
      </c>
    </row>
    <row r="22" spans="1:5" x14ac:dyDescent="0.25">
      <c r="A22" s="49" t="s">
        <v>86</v>
      </c>
      <c r="B22" s="51">
        <f>IF('Portfolio &amp; Rebalancing'!F25=0,0,E20/'Portfolio &amp; Rebalancing'!F25)</f>
        <v>0.46680107515001629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0.49509999999999971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/>
  </sheetViews>
  <sheetFormatPr baseColWidth="10" defaultColWidth="9.140625" defaultRowHeight="15" x14ac:dyDescent="0.25"/>
  <cols>
    <col min="1" max="1" width="44.85546875" customWidth="1"/>
    <col min="2" max="2" width="20" customWidth="1"/>
    <col min="3" max="3" width="3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1">
        <f>B4*B6</f>
        <v>285</v>
      </c>
      <c r="C25" s="62" t="s">
        <v>96</v>
      </c>
    </row>
    <row r="26" spans="1:3" x14ac:dyDescent="0.25">
      <c r="A26" s="60" t="s">
        <v>126</v>
      </c>
      <c r="B26" s="63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9</v>
      </c>
    </row>
    <row r="27" spans="1:3" x14ac:dyDescent="0.25">
      <c r="A27" s="64" t="s">
        <v>127</v>
      </c>
      <c r="B27" s="65">
        <v>0.5</v>
      </c>
      <c r="C27" s="64" t="s">
        <v>98</v>
      </c>
    </row>
    <row r="28" spans="1:3" x14ac:dyDescent="0.25">
      <c r="A28" s="66" t="s">
        <v>128</v>
      </c>
    </row>
    <row r="29" spans="1:3" x14ac:dyDescent="0.25">
      <c r="A29" s="64" t="s">
        <v>129</v>
      </c>
      <c r="B29" s="67" t="s">
        <v>130</v>
      </c>
      <c r="C29" s="64" t="s">
        <v>131</v>
      </c>
    </row>
    <row r="30" spans="1:3" x14ac:dyDescent="0.25">
      <c r="A30" s="64" t="s">
        <v>132</v>
      </c>
      <c r="B30" s="67" t="s">
        <v>133</v>
      </c>
      <c r="C30" s="64" t="s">
        <v>134</v>
      </c>
    </row>
    <row r="31" spans="1:3" x14ac:dyDescent="0.25">
      <c r="A31" s="64" t="s">
        <v>135</v>
      </c>
      <c r="B31" s="67" t="s">
        <v>136</v>
      </c>
      <c r="C31" s="64" t="s">
        <v>137</v>
      </c>
    </row>
    <row r="32" spans="1:3" x14ac:dyDescent="0.25">
      <c r="A32" s="64" t="s">
        <v>138</v>
      </c>
      <c r="B32" s="67" t="s">
        <v>136</v>
      </c>
      <c r="C32" s="64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2026-04-15T23:43:47Z</dcterms:modified>
</cp:coreProperties>
</file>