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B9D84E1B-DF23-43E6-8EA2-39E636E4EAE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5" i="3"/>
  <c r="B16" i="3"/>
  <c r="B14" i="3"/>
  <c r="B13" i="3"/>
  <c r="B24" i="2"/>
  <c r="D19" i="2"/>
  <c r="C19" i="2"/>
  <c r="E19" i="2" s="1"/>
  <c r="B19" i="2"/>
  <c r="A19" i="2"/>
  <c r="D18" i="2"/>
  <c r="C18" i="2"/>
  <c r="E18" i="2" s="1"/>
  <c r="B18" i="2"/>
  <c r="A18" i="2"/>
  <c r="D17" i="2"/>
  <c r="C17" i="2"/>
  <c r="E17" i="2" s="1"/>
  <c r="B17" i="2"/>
  <c r="A17" i="2"/>
  <c r="D16" i="2"/>
  <c r="C16" i="2"/>
  <c r="E16" i="2" s="1"/>
  <c r="B16" i="2"/>
  <c r="A16" i="2"/>
  <c r="D15" i="2"/>
  <c r="C15" i="2"/>
  <c r="E15" i="2" s="1"/>
  <c r="B15" i="2"/>
  <c r="A15" i="2"/>
  <c r="D14" i="2"/>
  <c r="C14" i="2"/>
  <c r="E14" i="2" s="1"/>
  <c r="B14" i="2"/>
  <c r="A14" i="2"/>
  <c r="D13" i="2"/>
  <c r="C13" i="2"/>
  <c r="E13" i="2" s="1"/>
  <c r="B13" i="2"/>
  <c r="A13" i="2"/>
  <c r="D12" i="2"/>
  <c r="C12" i="2"/>
  <c r="E12" i="2" s="1"/>
  <c r="B12" i="2"/>
  <c r="A12" i="2"/>
  <c r="D11" i="2"/>
  <c r="C11" i="2"/>
  <c r="E11" i="2" s="1"/>
  <c r="B11" i="2"/>
  <c r="A11" i="2"/>
  <c r="D10" i="2"/>
  <c r="C10" i="2"/>
  <c r="E10" i="2" s="1"/>
  <c r="B10" i="2"/>
  <c r="A10" i="2"/>
  <c r="D9" i="2"/>
  <c r="C9" i="2"/>
  <c r="E9" i="2" s="1"/>
  <c r="B9" i="2"/>
  <c r="A9" i="2"/>
  <c r="D8" i="2"/>
  <c r="C8" i="2"/>
  <c r="E8" i="2" s="1"/>
  <c r="B8" i="2"/>
  <c r="A8" i="2"/>
  <c r="D7" i="2"/>
  <c r="C7" i="2"/>
  <c r="E7" i="2" s="1"/>
  <c r="B7" i="2"/>
  <c r="A7" i="2"/>
  <c r="E6" i="2"/>
  <c r="D6" i="2"/>
  <c r="C6" i="2"/>
  <c r="B6" i="2"/>
  <c r="A6" i="2"/>
  <c r="D5" i="2"/>
  <c r="C5" i="2"/>
  <c r="E5" i="2" s="1"/>
  <c r="B5" i="2"/>
  <c r="A5" i="2"/>
  <c r="D4" i="2"/>
  <c r="C4" i="2"/>
  <c r="E4" i="2" s="1"/>
  <c r="B4" i="2"/>
  <c r="A4" i="2"/>
  <c r="O21" i="1"/>
  <c r="N21" i="1"/>
  <c r="H21" i="1"/>
  <c r="F21" i="1"/>
  <c r="C20" i="2" s="1"/>
  <c r="P20" i="1"/>
  <c r="J20" i="1" s="1"/>
  <c r="P19" i="1"/>
  <c r="P18" i="1"/>
  <c r="P17" i="1"/>
  <c r="P16" i="1"/>
  <c r="P15" i="1"/>
  <c r="P14" i="1"/>
  <c r="P13" i="1"/>
  <c r="P12" i="1"/>
  <c r="J12" i="1"/>
  <c r="P11" i="1"/>
  <c r="J11" i="1"/>
  <c r="P10" i="1"/>
  <c r="P21" i="1" s="1"/>
  <c r="P9" i="1"/>
  <c r="M9" i="1"/>
  <c r="P8" i="1"/>
  <c r="M8" i="1"/>
  <c r="P7" i="1"/>
  <c r="M7" i="1"/>
  <c r="P6" i="1"/>
  <c r="M6" i="1"/>
  <c r="P5" i="1"/>
  <c r="M5" i="1"/>
  <c r="F25" i="1" l="1"/>
  <c r="I19" i="1" s="1"/>
  <c r="I13" i="1"/>
  <c r="J13" i="1" s="1"/>
  <c r="I18" i="1"/>
  <c r="J18" i="1" s="1"/>
  <c r="I17" i="1"/>
  <c r="I9" i="1"/>
  <c r="J9" i="1" s="1"/>
  <c r="G10" i="1"/>
  <c r="K10" i="1" s="1"/>
  <c r="L10" i="1" s="1"/>
  <c r="J17" i="1"/>
  <c r="G7" i="1"/>
  <c r="K7" i="1" s="1"/>
  <c r="L7" i="1" s="1"/>
  <c r="G18" i="1"/>
  <c r="M18" i="1" s="1"/>
  <c r="I7" i="1"/>
  <c r="J7" i="1" s="1"/>
  <c r="I10" i="1"/>
  <c r="J10" i="1" s="1"/>
  <c r="I15" i="1"/>
  <c r="J15" i="1" s="1"/>
  <c r="G5" i="1"/>
  <c r="I8" i="1"/>
  <c r="J8" i="1" s="1"/>
  <c r="I5" i="1"/>
  <c r="J5" i="1" s="1"/>
  <c r="G16" i="1"/>
  <c r="M16" i="1" s="1"/>
  <c r="G20" i="1"/>
  <c r="M20" i="1" s="1"/>
  <c r="G14" i="1"/>
  <c r="M14" i="1" s="1"/>
  <c r="I14" i="1"/>
  <c r="G15" i="1"/>
  <c r="G19" i="1"/>
  <c r="G11" i="1"/>
  <c r="M11" i="1" s="1"/>
  <c r="G8" i="1"/>
  <c r="K8" i="1" s="1"/>
  <c r="L8" i="1" s="1"/>
  <c r="I11" i="1"/>
  <c r="G12" i="1"/>
  <c r="M12" i="1" s="1"/>
  <c r="I16" i="1"/>
  <c r="J16" i="1" s="1"/>
  <c r="I12" i="1"/>
  <c r="G17" i="1"/>
  <c r="E20" i="2"/>
  <c r="B22" i="2" s="1"/>
  <c r="B25" i="2" s="1"/>
  <c r="J19" i="1"/>
  <c r="I20" i="1"/>
  <c r="M22" i="1"/>
  <c r="G9" i="1" l="1"/>
  <c r="K9" i="1" s="1"/>
  <c r="L9" i="1" s="1"/>
  <c r="I6" i="1"/>
  <c r="J6" i="1" s="1"/>
  <c r="G6" i="1"/>
  <c r="K6" i="1" s="1"/>
  <c r="L6" i="1" s="1"/>
  <c r="G13" i="1"/>
  <c r="K12" i="1"/>
  <c r="L12" i="1" s="1"/>
  <c r="M10" i="1"/>
  <c r="B23" i="2"/>
  <c r="B26" i="2" s="1"/>
  <c r="K18" i="1"/>
  <c r="L18" i="1" s="1"/>
  <c r="K11" i="1"/>
  <c r="L11" i="1" s="1"/>
  <c r="I21" i="1"/>
  <c r="K5" i="1"/>
  <c r="L5" i="1" s="1"/>
  <c r="K16" i="1"/>
  <c r="L16" i="1" s="1"/>
  <c r="J14" i="1"/>
  <c r="F26" i="1" s="1"/>
  <c r="M17" i="1"/>
  <c r="K17" i="1"/>
  <c r="L17" i="1" s="1"/>
  <c r="K14" i="1"/>
  <c r="L14" i="1" s="1"/>
  <c r="K20" i="1"/>
  <c r="L20" i="1" s="1"/>
  <c r="K19" i="1"/>
  <c r="L19" i="1" s="1"/>
  <c r="M19" i="1"/>
  <c r="M15" i="1"/>
  <c r="K15" i="1"/>
  <c r="L15" i="1" s="1"/>
  <c r="G21" i="1" l="1"/>
  <c r="M13" i="1"/>
  <c r="K13" i="1"/>
  <c r="L13" i="1" s="1"/>
  <c r="M21" i="1"/>
  <c r="K22" i="1"/>
  <c r="K21" i="1"/>
  <c r="J21" i="1"/>
</calcChain>
</file>

<file path=xl/sharedStrings.xml><?xml version="1.0" encoding="utf-8"?>
<sst xmlns="http://schemas.openxmlformats.org/spreadsheetml/2006/main" count="186" uniqueCount="142">
  <si>
    <t>🦅 DYNASTIE-DEPOT – Rebalancing Tool v3.4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</si>
  <si>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</si>
  <si>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</si>
  <si>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</si>
  <si>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</si>
  <si>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</si>
  <si>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</si>
  <si>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</si>
  <si>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</si>
  <si>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</si>
  <si>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</si>
  <si>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</si>
  <si>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</si>
  <si>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</si>
  <si>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</si>
  <si>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</si>
  <si>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</si>
  <si>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EUWAX Gold</t>
  </si>
  <si>
    <t>EWG2</t>
  </si>
  <si>
    <t>Gold</t>
  </si>
  <si>
    <t>Scalable</t>
  </si>
  <si>
    <t>iShares MSCI World</t>
  </si>
  <si>
    <t>IWDA</t>
  </si>
  <si>
    <t>ETF</t>
  </si>
  <si>
    <t>ING</t>
  </si>
  <si>
    <t>iShares MSCI EM IMI</t>
  </si>
  <si>
    <t>EIMI</t>
  </si>
  <si>
    <t>MSCI World ex-USA</t>
  </si>
  <si>
    <t>EXUSA</t>
  </si>
  <si>
    <t>Avantis Small Cap Value</t>
  </si>
  <si>
    <t>AVGC</t>
  </si>
  <si>
    <t>ASML Holding</t>
  </si>
  <si>
    <t>ASML</t>
  </si>
  <si>
    <t>Aktie</t>
  </si>
  <si>
    <t>DEFCON 3 (68)</t>
  </si>
  <si>
    <t>🟡 DEFCON 3 (68) | China Rev 14.7% Risk-Map</t>
  </si>
  <si>
    <t>Broadcom</t>
  </si>
  <si>
    <t>AVGO</t>
  </si>
  <si>
    <t>DEFCON 2 (53) | Vollanalyse 30.04.</t>
  </si>
  <si>
    <t>🔴 FLAG: Insider-Selling 90d $106M+ | Aktiviert 27.04.2026 | Vollanalyse 30.04. Score 84→53 (D4→D2) | Re-Eval Q3 FY26</t>
  </si>
  <si>
    <t>Microsoft</t>
  </si>
  <si>
    <t>MSFT</t>
  </si>
  <si>
    <t>DEFCON 2 (50)</t>
  </si>
  <si>
    <t>🔴 FLAG: CapEx/OCF aktiv | Score 50 | DEFCON 2 | Bull-Case Trigger B FAIL (CY26 $190B) | Re-Check Q4 FY26 ~Juli</t>
  </si>
  <si>
    <t>Costco</t>
  </si>
  <si>
    <t>COST</t>
  </si>
  <si>
    <t>DEFCON 3 (69) | MY 15.2% &gt; WACC</t>
  </si>
  <si>
    <t>✅ Clean</t>
  </si>
  <si>
    <t>Hermès</t>
  </si>
  <si>
    <t>RMS</t>
  </si>
  <si>
    <t>DEFCON 3 (68) | Q1 Miss: −8.4% | Moat intakt</t>
  </si>
  <si>
    <t>✅ Clean | Re-Analyse 17.04.2026 v3.7</t>
  </si>
  <si>
    <t>Veeva Systems</t>
  </si>
  <si>
    <t>VEEV</t>
  </si>
  <si>
    <t>DEFCON 3 (74)</t>
  </si>
  <si>
    <t>Schneider Electric</t>
  </si>
  <si>
    <t>SU</t>
  </si>
  <si>
    <t>DEFCON 3 (69)</t>
  </si>
  <si>
    <t>Berkshire Hathaway</t>
  </si>
  <si>
    <t>BRK.B</t>
  </si>
  <si>
    <t>DEFCON 3 (75) | Abel Käufe $15.3M</t>
  </si>
  <si>
    <t>Visa</t>
  </si>
  <si>
    <t>V</t>
  </si>
  <si>
    <t>DEFCON 2 (64)</t>
  </si>
  <si>
    <t>🟠 DEFCON 2 (64) | Q2 Beat-Cascade D3 (mittags) → Codex-Review-Revert D2 (spätabends, HIGH-1+2 28.04.) | Q3 ~Ende Juli ROIC-Verify</t>
  </si>
  <si>
    <t>Thermo Fisher</t>
  </si>
  <si>
    <t>TMO</t>
  </si>
  <si>
    <t>DEFCON 3 (67)</t>
  </si>
  <si>
    <t>🟡 DEFCON 3 (67) | fcf_trend_neg Resolve (Q1 WC-Unwind bestätigt) | Q2 ~Ende Juli</t>
  </si>
  <si>
    <t>Amphenol</t>
  </si>
  <si>
    <t>APH</t>
  </si>
  <si>
    <t>DEFCON 2 (61)</t>
  </si>
  <si>
    <t>🔴 FLAG: Score 61 (DEFCON 2, Q1 FY26 Tag-+1 Vollanalyse 30.04.) | CommScope-NL 1,6x | China-Tax-ETR 27% strukturell</t>
  </si>
  <si>
    <t>📊 GESAMT</t>
  </si>
  <si>
    <t>Ø Drift ges.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</si>
  <si>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</si>
  <si>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</si>
  <si>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</si>
  <si>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</si>
  <si>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</si>
  <si>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</si>
  <si>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</si>
  <si>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Noch zu überweisen (ING + Δ Scalable)</t>
  </si>
  <si>
    <t xml:space="preserve"> US-EXPOSURE TRACKER</t>
  </si>
  <si>
    <t>Depotwert €</t>
  </si>
  <si>
    <t>US-Faktor</t>
  </si>
  <si>
    <t>US-Anteil €</t>
  </si>
  <si>
    <t>GESAMT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</si>
  <si>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</si>
  <si>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</si>
  <si>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</si>
  <si>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</si>
  <si>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</si>
  <si>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</si>
  <si>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</si>
  <si>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</si>
  <si>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</si>
  <si>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</si>
  <si>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</si>
  <si>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</si>
  <si>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</si>
  <si>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</si>
  <si>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</si>
  <si>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</si>
  <si>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</si>
  <si>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</si>
  <si>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</si>
  <si>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</si>
  <si>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</si>
  <si>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</si>
  <si>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</si>
  <si>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</si>
  <si>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</si>
  <si>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</si>
  <si>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</si>
  <si>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</si>
  <si>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</si>
  <si>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</si>
  <si>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</si>
  <si>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</si>
  <si>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</si>
  <si>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</si>
  <si>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</si>
  <si>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</si>
  <si>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</si>
  <si>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</si>
  <si>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</si>
  <si>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</si>
  <si>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Aktien-Sparrate (D4/D3,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</si>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</sst>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center" vertical="center"/>
    </xf>
    <xf numFmtId="2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0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164" fontId="5" fillId="9" borderId="0" xfId="0" applyNumberFormat="1" applyFont="1" applyFill="1" applyAlignment="1">
      <alignment horizontal="right" vertical="center"/>
    </xf>
    <xf numFmtId="10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/>
    </xf>
    <xf numFmtId="164" fontId="4" fillId="10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1" borderId="0" xfId="0" applyNumberFormat="1" applyFont="1" applyFill="1" applyAlignment="1">
      <alignment horizontal="right" vertical="center"/>
    </xf>
    <xf numFmtId="164" fontId="5" fillId="10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3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0" fontId="4" fillId="0" borderId="0" xfId="0" applyFont="1"/>
    <xf numFmtId="0" fontId="11" fillId="13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166" fontId="16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167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workbookViewId="0">
      <selection activeCell="I41" sqref="I41"/>
    </sheetView>
  </sheetViews>
  <sheetFormatPr baseColWidth="10" defaultColWidth="9.140625" defaultRowHeight="15"/>
  <cols>
    <col min="1" max="1" width="28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56.140625" customWidth="1"/>
    <col min="16" max="16" width="31.7109375" customWidth="1"/>
  </cols>
  <sheetData>
    <row r="1" spans="1:16" ht="25.5" customHeight="1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</row>
    <row r="2" spans="1:16" ht="13.5" customHeight="1">
      <c r="A2" s="71">
        <v>46142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</row>
    <row r="3" spans="1:16" ht="3.75" customHeight="1"/>
    <row r="4" spans="1:16" ht="36" customHeight="1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</row>
    <row r="5" spans="1:16" ht="16.5" customHeight="1">
      <c r="A5" s="2" t="s">
        <v>17</v>
      </c>
      <c r="B5" s="3" t="s">
        <v>18</v>
      </c>
      <c r="C5" s="3" t="s">
        <v>19</v>
      </c>
      <c r="D5" s="3" t="s">
        <v>20</v>
      </c>
      <c r="E5" s="4">
        <v>0</v>
      </c>
      <c r="F5" s="5">
        <v>576</v>
      </c>
      <c r="G5" s="6">
        <f t="shared" ref="G5:G20" si="0">IF(F$25=0,0,F5/F$25)</f>
        <v>4.2281125441345949E-2</v>
      </c>
      <c r="H5" s="6">
        <v>0.05</v>
      </c>
      <c r="I5" s="5">
        <f t="shared" ref="I5:I20" si="1">H5*F$25</f>
        <v>681.15500000000009</v>
      </c>
      <c r="J5" s="5">
        <f>I5-F5</f>
        <v>105.15500000000009</v>
      </c>
      <c r="K5" s="6">
        <f t="shared" ref="K5:K20" si="2">G5-H5</f>
        <v>-7.7188745586540541E-3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7" t="str">
        <f>IF(C5="Aktie",IF(G5&gt;'Parameter &amp; Regeln'!B$10,"🚨 ÜBER CAP","✅ OK"),"")</f>
        <v/>
      </c>
      <c r="N5" s="3"/>
      <c r="O5" s="3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47.500000000000014</v>
      </c>
    </row>
    <row r="6" spans="1:16" ht="16.5" customHeight="1">
      <c r="A6" s="8" t="s">
        <v>21</v>
      </c>
      <c r="B6" s="9" t="s">
        <v>22</v>
      </c>
      <c r="C6" s="9" t="s">
        <v>23</v>
      </c>
      <c r="D6" s="9" t="s">
        <v>24</v>
      </c>
      <c r="E6" s="10">
        <v>0.7</v>
      </c>
      <c r="F6" s="11">
        <v>3572.78</v>
      </c>
      <c r="G6" s="12">
        <f t="shared" si="0"/>
        <v>0.2622589572123819</v>
      </c>
      <c r="H6" s="12">
        <v>0.3</v>
      </c>
      <c r="I6" s="11">
        <f t="shared" si="1"/>
        <v>4086.93</v>
      </c>
      <c r="J6" s="11">
        <f>I6-F6</f>
        <v>514.14999999999964</v>
      </c>
      <c r="K6" s="12">
        <f t="shared" si="2"/>
        <v>-3.7741042787618084E-2</v>
      </c>
      <c r="L6" s="9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📈 Aufstocken</v>
      </c>
      <c r="M6" s="13" t="str">
        <f>IF(C6="Aktie",IF(G6&gt;'Parameter &amp; Regeln'!B$10,"🚨 ÜBER CAP","✅ OK"),"")</f>
        <v/>
      </c>
      <c r="N6" s="9"/>
      <c r="O6" s="9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285.00000000000006</v>
      </c>
    </row>
    <row r="7" spans="1:16" ht="16.5" customHeight="1">
      <c r="A7" s="8" t="s">
        <v>25</v>
      </c>
      <c r="B7" s="9" t="s">
        <v>26</v>
      </c>
      <c r="C7" s="9" t="s">
        <v>23</v>
      </c>
      <c r="D7" s="9" t="s">
        <v>24</v>
      </c>
      <c r="E7" s="10">
        <v>0</v>
      </c>
      <c r="F7" s="11">
        <v>1204.17</v>
      </c>
      <c r="G7" s="12">
        <f t="shared" si="0"/>
        <v>8.8391775733863809E-2</v>
      </c>
      <c r="H7" s="12">
        <v>0.1</v>
      </c>
      <c r="I7" s="11">
        <f t="shared" si="1"/>
        <v>1362.3100000000002</v>
      </c>
      <c r="J7" s="11">
        <f>I7-F7</f>
        <v>158.1400000000001</v>
      </c>
      <c r="K7" s="12">
        <f t="shared" si="2"/>
        <v>-1.1608224266136197E-2</v>
      </c>
      <c r="L7" s="9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⚖️ Halten</v>
      </c>
      <c r="M7" s="13" t="str">
        <f>IF(C7="Aktie",IF(G7&gt;'Parameter &amp; Regeln'!B$10,"🚨 ÜBER CAP","✅ OK"),"")</f>
        <v/>
      </c>
      <c r="N7" s="9"/>
      <c r="O7" s="9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8" spans="1:16" ht="16.5" customHeight="1">
      <c r="A8" s="8" t="s">
        <v>27</v>
      </c>
      <c r="B8" s="9" t="s">
        <v>28</v>
      </c>
      <c r="C8" s="9" t="s">
        <v>23</v>
      </c>
      <c r="D8" s="9" t="s">
        <v>24</v>
      </c>
      <c r="E8" s="10">
        <v>0</v>
      </c>
      <c r="F8" s="11">
        <v>1748.15</v>
      </c>
      <c r="G8" s="12">
        <f t="shared" si="0"/>
        <v>0.12832248166716828</v>
      </c>
      <c r="H8" s="12">
        <v>0.15</v>
      </c>
      <c r="I8" s="11">
        <f t="shared" si="1"/>
        <v>2043.4649999999999</v>
      </c>
      <c r="J8" s="11">
        <f>I8-F8</f>
        <v>295.31499999999983</v>
      </c>
      <c r="K8" s="12">
        <f t="shared" si="2"/>
        <v>-2.1677518332831713E-2</v>
      </c>
      <c r="L8" s="9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📈 Aufstocken</v>
      </c>
      <c r="M8" s="13" t="str">
        <f>IF(C8="Aktie",IF(G8&gt;'Parameter &amp; Regeln'!B$10,"🚨 ÜBER CAP","✅ OK"),"")</f>
        <v/>
      </c>
      <c r="N8" s="9"/>
      <c r="O8" s="9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142.50000000000003</v>
      </c>
    </row>
    <row r="9" spans="1:16" ht="16.5" customHeight="1">
      <c r="A9" s="8" t="s">
        <v>29</v>
      </c>
      <c r="B9" s="9" t="s">
        <v>30</v>
      </c>
      <c r="C9" s="9" t="s">
        <v>23</v>
      </c>
      <c r="D9" s="9" t="s">
        <v>20</v>
      </c>
      <c r="E9" s="10">
        <v>0.67</v>
      </c>
      <c r="F9" s="11">
        <v>1183</v>
      </c>
      <c r="G9" s="12">
        <f t="shared" si="0"/>
        <v>8.6837797564430996E-2</v>
      </c>
      <c r="H9" s="12">
        <v>0.1</v>
      </c>
      <c r="I9" s="11">
        <f t="shared" si="1"/>
        <v>1362.3100000000002</v>
      </c>
      <c r="J9" s="11">
        <f>I9-F9</f>
        <v>179.31000000000017</v>
      </c>
      <c r="K9" s="12">
        <f t="shared" si="2"/>
        <v>-1.3162202435569009E-2</v>
      </c>
      <c r="L9" s="9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⚖️ Halten</v>
      </c>
      <c r="M9" s="13" t="str">
        <f>IF(C9="Aktie",IF(G9&gt;'Parameter &amp; Regeln'!B$10,"🚨 ÜBER CAP","✅ OK"),"")</f>
        <v/>
      </c>
      <c r="N9" s="9"/>
      <c r="O9" s="9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10" spans="1:16" ht="16.5" customHeight="1">
      <c r="A10" s="14" t="s">
        <v>31</v>
      </c>
      <c r="B10" s="15" t="s">
        <v>32</v>
      </c>
      <c r="C10" s="15" t="s">
        <v>33</v>
      </c>
      <c r="D10" s="15" t="s">
        <v>20</v>
      </c>
      <c r="E10" s="16">
        <v>0</v>
      </c>
      <c r="F10" s="17">
        <v>406</v>
      </c>
      <c r="G10" s="18">
        <f t="shared" si="0"/>
        <v>2.9802321057615374E-2</v>
      </c>
      <c r="H10" s="18">
        <v>2.7300000000000001E-2</v>
      </c>
      <c r="I10" s="17">
        <f t="shared" si="1"/>
        <v>371.91063000000003</v>
      </c>
      <c r="J10" s="17">
        <f t="shared" ref="J10:J20" si="3">IF(P10=0,0,I10-F10)</f>
        <v>-34.089369999999974</v>
      </c>
      <c r="K10" s="18">
        <f t="shared" si="2"/>
        <v>2.5023210576153726E-3</v>
      </c>
      <c r="L10" s="15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⚖️ Halten</v>
      </c>
      <c r="M10" s="19" t="str">
        <f>IF(C10="Aktie",IF(G10&gt;'Parameter &amp; Regeln'!B$10,"🚨 ÜBER CAP","✅ OK"),"")</f>
        <v>✅ OK</v>
      </c>
      <c r="N10" s="15" t="s">
        <v>34</v>
      </c>
      <c r="O10" s="15" t="s">
        <v>35</v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11" spans="1:16" ht="16.5" customHeight="1">
      <c r="A11" s="20" t="s">
        <v>36</v>
      </c>
      <c r="B11" s="21" t="s">
        <v>37</v>
      </c>
      <c r="C11" s="21" t="s">
        <v>33</v>
      </c>
      <c r="D11" s="21" t="s">
        <v>20</v>
      </c>
      <c r="E11" s="22">
        <v>1</v>
      </c>
      <c r="F11" s="23">
        <v>499</v>
      </c>
      <c r="G11" s="24">
        <f t="shared" si="0"/>
        <v>3.6628961102832688E-2</v>
      </c>
      <c r="H11" s="24">
        <v>2.7300000000000001E-2</v>
      </c>
      <c r="I11" s="23">
        <f t="shared" si="1"/>
        <v>371.91063000000003</v>
      </c>
      <c r="J11" s="23">
        <f t="shared" si="3"/>
        <v>0</v>
      </c>
      <c r="K11" s="24">
        <f t="shared" si="2"/>
        <v>9.328961102832687E-3</v>
      </c>
      <c r="L11" s="21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25" t="str">
        <f>IF(C11="Aktie",IF(G11&gt;'Parameter &amp; Regeln'!B$10,"🚨 ÜBER CAP","✅ OK"),"")</f>
        <v>✅ OK</v>
      </c>
      <c r="N11" s="21" t="s">
        <v>38</v>
      </c>
      <c r="O11" s="21" t="s">
        <v>39</v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2" spans="1:16" ht="16.5" customHeight="1">
      <c r="A12" s="14" t="s">
        <v>40</v>
      </c>
      <c r="B12" s="15" t="s">
        <v>41</v>
      </c>
      <c r="C12" s="15" t="s">
        <v>33</v>
      </c>
      <c r="D12" s="15" t="s">
        <v>20</v>
      </c>
      <c r="E12" s="16">
        <v>1</v>
      </c>
      <c r="F12" s="17">
        <v>379</v>
      </c>
      <c r="G12" s="18">
        <f t="shared" si="0"/>
        <v>2.7820393302552281E-2</v>
      </c>
      <c r="H12" s="18">
        <v>2.7300000000000001E-2</v>
      </c>
      <c r="I12" s="17">
        <f t="shared" si="1"/>
        <v>371.91063000000003</v>
      </c>
      <c r="J12" s="17">
        <f t="shared" si="3"/>
        <v>0</v>
      </c>
      <c r="K12" s="18">
        <f t="shared" si="2"/>
        <v>5.2039330255227931E-4</v>
      </c>
      <c r="L12" s="15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19" t="str">
        <f>IF(C12="Aktie",IF(G12&gt;'Parameter &amp; Regeln'!B$10,"🚨 ÜBER CAP","✅ OK"),"")</f>
        <v>✅ OK</v>
      </c>
      <c r="N12" s="15" t="s">
        <v>42</v>
      </c>
      <c r="O12" s="15" t="s">
        <v>43</v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3" spans="1:16" ht="16.5" customHeight="1">
      <c r="A13" s="20" t="s">
        <v>44</v>
      </c>
      <c r="B13" s="21" t="s">
        <v>45</v>
      </c>
      <c r="C13" s="21" t="s">
        <v>33</v>
      </c>
      <c r="D13" s="21" t="s">
        <v>20</v>
      </c>
      <c r="E13" s="22">
        <v>1</v>
      </c>
      <c r="F13" s="23">
        <v>391</v>
      </c>
      <c r="G13" s="24">
        <f t="shared" si="0"/>
        <v>2.8701250082580322E-2</v>
      </c>
      <c r="H13" s="24">
        <v>2.7300000000000001E-2</v>
      </c>
      <c r="I13" s="23">
        <f t="shared" si="1"/>
        <v>371.91063000000003</v>
      </c>
      <c r="J13" s="23">
        <f t="shared" si="3"/>
        <v>-19.089369999999974</v>
      </c>
      <c r="K13" s="24">
        <f t="shared" si="2"/>
        <v>1.4012500825803208E-3</v>
      </c>
      <c r="L13" s="21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25" t="str">
        <f>IF(C13="Aktie",IF(G13&gt;'Parameter &amp; Regeln'!B$10,"🚨 ÜBER CAP","✅ OK"),"")</f>
        <v>✅ OK</v>
      </c>
      <c r="N13" s="21" t="s">
        <v>46</v>
      </c>
      <c r="O13" s="21" t="s">
        <v>47</v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14" spans="1:16" ht="16.5" customHeight="1">
      <c r="A14" s="14" t="s">
        <v>48</v>
      </c>
      <c r="B14" s="15" t="s">
        <v>49</v>
      </c>
      <c r="C14" s="15" t="s">
        <v>33</v>
      </c>
      <c r="D14" s="15" t="s">
        <v>20</v>
      </c>
      <c r="E14" s="16">
        <v>0</v>
      </c>
      <c r="F14" s="17">
        <v>397</v>
      </c>
      <c r="G14" s="18">
        <f t="shared" si="0"/>
        <v>2.9141678472594343E-2</v>
      </c>
      <c r="H14" s="18">
        <v>2.7300000000000001E-2</v>
      </c>
      <c r="I14" s="17">
        <f t="shared" si="1"/>
        <v>371.91063000000003</v>
      </c>
      <c r="J14" s="17">
        <f t="shared" si="3"/>
        <v>-25.089369999999974</v>
      </c>
      <c r="K14" s="18">
        <f t="shared" si="2"/>
        <v>1.8416784725943415E-3</v>
      </c>
      <c r="L14" s="15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19" t="str">
        <f>IF(C14="Aktie",IF(G14&gt;'Parameter &amp; Regeln'!B$10,"🚨 ÜBER CAP","✅ OK"),"")</f>
        <v>✅ OK</v>
      </c>
      <c r="N14" s="15" t="s">
        <v>50</v>
      </c>
      <c r="O14" s="15" t="s">
        <v>51</v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15" spans="1:16" ht="16.5" customHeight="1">
      <c r="A15" s="20" t="s">
        <v>52</v>
      </c>
      <c r="B15" s="21" t="s">
        <v>53</v>
      </c>
      <c r="C15" s="21" t="s">
        <v>33</v>
      </c>
      <c r="D15" s="21" t="s">
        <v>20</v>
      </c>
      <c r="E15" s="22">
        <v>1</v>
      </c>
      <c r="F15" s="23">
        <v>346</v>
      </c>
      <c r="G15" s="24">
        <f t="shared" si="0"/>
        <v>2.539803715747517E-2</v>
      </c>
      <c r="H15" s="24">
        <v>2.7300000000000001E-2</v>
      </c>
      <c r="I15" s="23">
        <f t="shared" si="1"/>
        <v>371.91063000000003</v>
      </c>
      <c r="J15" s="23">
        <f t="shared" si="3"/>
        <v>25.910630000000026</v>
      </c>
      <c r="K15" s="24">
        <f t="shared" si="2"/>
        <v>-1.9019628425248312E-3</v>
      </c>
      <c r="L15" s="21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25" t="str">
        <f>IF(C15="Aktie",IF(G15&gt;'Parameter &amp; Regeln'!B$10,"🚨 ÜBER CAP","✅ OK"),"")</f>
        <v>✅ OK</v>
      </c>
      <c r="N15" s="21" t="s">
        <v>54</v>
      </c>
      <c r="O15" s="21" t="s">
        <v>47</v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16" spans="1:16" ht="16.5" customHeight="1">
      <c r="A16" s="14" t="s">
        <v>55</v>
      </c>
      <c r="B16" s="15" t="s">
        <v>56</v>
      </c>
      <c r="C16" s="15" t="s">
        <v>33</v>
      </c>
      <c r="D16" s="15" t="s">
        <v>20</v>
      </c>
      <c r="E16" s="16">
        <v>0</v>
      </c>
      <c r="F16" s="17">
        <v>405</v>
      </c>
      <c r="G16" s="18">
        <f t="shared" si="0"/>
        <v>2.9728916325946368E-2</v>
      </c>
      <c r="H16" s="18">
        <v>2.7300000000000001E-2</v>
      </c>
      <c r="I16" s="17">
        <f t="shared" si="1"/>
        <v>371.91063000000003</v>
      </c>
      <c r="J16" s="17">
        <f t="shared" si="3"/>
        <v>-33.089369999999974</v>
      </c>
      <c r="K16" s="18">
        <f t="shared" si="2"/>
        <v>2.4289163259463668E-3</v>
      </c>
      <c r="L16" s="15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19" t="str">
        <f>IF(C16="Aktie",IF(G16&gt;'Parameter &amp; Regeln'!B$10,"🚨 ÜBER CAP","✅ OK"),"")</f>
        <v>✅ OK</v>
      </c>
      <c r="N16" s="15" t="s">
        <v>57</v>
      </c>
      <c r="O16" s="15" t="s">
        <v>47</v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17" spans="1:16" ht="16.5" customHeight="1">
      <c r="A17" s="20" t="s">
        <v>58</v>
      </c>
      <c r="B17" s="21" t="s">
        <v>59</v>
      </c>
      <c r="C17" s="21" t="s">
        <v>33</v>
      </c>
      <c r="D17" s="21" t="s">
        <v>20</v>
      </c>
      <c r="E17" s="22">
        <v>1</v>
      </c>
      <c r="F17" s="23">
        <v>433</v>
      </c>
      <c r="G17" s="24">
        <f t="shared" si="0"/>
        <v>3.1784248812678467E-2</v>
      </c>
      <c r="H17" s="24">
        <v>2.7300000000000001E-2</v>
      </c>
      <c r="I17" s="23">
        <f t="shared" si="1"/>
        <v>371.91063000000003</v>
      </c>
      <c r="J17" s="23">
        <f t="shared" si="3"/>
        <v>-61.089369999999974</v>
      </c>
      <c r="K17" s="24">
        <f t="shared" si="2"/>
        <v>4.4842488126784659E-3</v>
      </c>
      <c r="L17" s="21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25" t="str">
        <f>IF(C17="Aktie",IF(G17&gt;'Parameter &amp; Regeln'!B$10,"🚨 ÜBER CAP","✅ OK"),"")</f>
        <v>✅ OK</v>
      </c>
      <c r="N17" s="21" t="s">
        <v>60</v>
      </c>
      <c r="O17" s="21" t="s">
        <v>47</v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18" spans="1:16" ht="16.5" customHeight="1">
      <c r="A18" s="14" t="s">
        <v>61</v>
      </c>
      <c r="B18" s="15" t="s">
        <v>62</v>
      </c>
      <c r="C18" s="15" t="s">
        <v>33</v>
      </c>
      <c r="D18" s="15" t="s">
        <v>20</v>
      </c>
      <c r="E18" s="16">
        <v>1</v>
      </c>
      <c r="F18" s="17">
        <v>480</v>
      </c>
      <c r="G18" s="18">
        <f t="shared" si="0"/>
        <v>3.5234271201121624E-2</v>
      </c>
      <c r="H18" s="18">
        <v>2.7300000000000001E-2</v>
      </c>
      <c r="I18" s="17">
        <f t="shared" si="1"/>
        <v>371.91063000000003</v>
      </c>
      <c r="J18" s="17">
        <f t="shared" si="3"/>
        <v>-108.08936999999997</v>
      </c>
      <c r="K18" s="18">
        <f t="shared" si="2"/>
        <v>7.9342712011216225E-3</v>
      </c>
      <c r="L18" s="15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19" t="str">
        <f>IF(C18="Aktie",IF(G18&gt;'Parameter &amp; Regeln'!B$10,"🚨 ÜBER CAP","✅ OK"),"")</f>
        <v>✅ OK</v>
      </c>
      <c r="N18" s="15" t="s">
        <v>63</v>
      </c>
      <c r="O18" s="15" t="s">
        <v>64</v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19</v>
      </c>
    </row>
    <row r="19" spans="1:16" ht="16.5" customHeight="1">
      <c r="A19" s="20" t="s">
        <v>65</v>
      </c>
      <c r="B19" s="21" t="s">
        <v>66</v>
      </c>
      <c r="C19" s="21" t="s">
        <v>33</v>
      </c>
      <c r="D19" s="21" t="s">
        <v>20</v>
      </c>
      <c r="E19" s="22">
        <v>1</v>
      </c>
      <c r="F19" s="23">
        <v>321</v>
      </c>
      <c r="G19" s="24">
        <f t="shared" si="0"/>
        <v>2.3562918865750085E-2</v>
      </c>
      <c r="H19" s="24">
        <v>2.7300000000000001E-2</v>
      </c>
      <c r="I19" s="23">
        <f t="shared" si="1"/>
        <v>371.91063000000003</v>
      </c>
      <c r="J19" s="23">
        <f t="shared" si="3"/>
        <v>50.910630000000026</v>
      </c>
      <c r="K19" s="24">
        <f t="shared" si="2"/>
        <v>-3.7370811342499165E-3</v>
      </c>
      <c r="L19" s="21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25" t="str">
        <f>IF(C19="Aktie",IF(G19&gt;'Parameter &amp; Regeln'!B$10,"🚨 ÜBER CAP","✅ OK"),"")</f>
        <v>✅ OK</v>
      </c>
      <c r="N19" s="21" t="s">
        <v>67</v>
      </c>
      <c r="O19" s="21" t="s">
        <v>68</v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20" spans="1:16" ht="16.5" customHeight="1">
      <c r="A20" s="14" t="s">
        <v>69</v>
      </c>
      <c r="B20" s="15" t="s">
        <v>70</v>
      </c>
      <c r="C20" s="15" t="s">
        <v>33</v>
      </c>
      <c r="D20" s="15" t="s">
        <v>20</v>
      </c>
      <c r="E20" s="16">
        <v>1</v>
      </c>
      <c r="F20" s="17">
        <v>332</v>
      </c>
      <c r="G20" s="18">
        <f t="shared" si="0"/>
        <v>2.4370370914109124E-2</v>
      </c>
      <c r="H20" s="18">
        <v>2.7E-2</v>
      </c>
      <c r="I20" s="17">
        <f t="shared" si="1"/>
        <v>367.82370000000003</v>
      </c>
      <c r="J20" s="17">
        <f t="shared" si="3"/>
        <v>0</v>
      </c>
      <c r="K20" s="18">
        <f t="shared" si="2"/>
        <v>-2.6296290858908757E-3</v>
      </c>
      <c r="L20" s="15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19" t="str">
        <f>IF(C20="Aktie",IF(G20&gt;'Parameter &amp; Regeln'!B$10,"🚨 ÜBER CAP","✅ OK"),"")</f>
        <v>✅ OK</v>
      </c>
      <c r="N20" s="15" t="s">
        <v>71</v>
      </c>
      <c r="O20" s="15" t="s">
        <v>72</v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21" spans="1:16" ht="18.75" customHeight="1">
      <c r="A21" s="26" t="s">
        <v>73</v>
      </c>
      <c r="B21" s="27"/>
      <c r="C21" s="27"/>
      <c r="D21" s="27"/>
      <c r="E21" s="27"/>
      <c r="F21" s="28">
        <f>SUM(F5:F20)</f>
        <v>12673.1</v>
      </c>
      <c r="G21" s="29">
        <f>SUM(G5:G20)</f>
        <v>0.93026550491444659</v>
      </c>
      <c r="H21" s="29">
        <f>SUM(H5:H20)</f>
        <v>0.99999999999999989</v>
      </c>
      <c r="I21" s="28">
        <f>SUM(I5:I20)</f>
        <v>13623.100000000004</v>
      </c>
      <c r="J21" s="28">
        <f>ROUND(SUM(J5:J20),2)</f>
        <v>1048.3599999999999</v>
      </c>
      <c r="K21" s="29">
        <f>SUMPRODUCT((C5:C20="Aktie")*ABS(K5:K20))/COUNTIF(C5:C20,"Aktie")</f>
        <v>3.5191557655079157E-3</v>
      </c>
      <c r="L21" s="26" t="s">
        <v>74</v>
      </c>
      <c r="M21" s="30">
        <f>COUNTIF(M5:M20,"🚨 ÜBER CAP")</f>
        <v>0</v>
      </c>
      <c r="N21" s="31">
        <f>COUNTIF(N5:N20,"DEFCON 1*")+COUNTIF(N5:N20,"DEFCON 2*")+COUNTIF(N5:N20,"DEFCON 3*")</f>
        <v>11</v>
      </c>
      <c r="O21" s="31">
        <f>COUNTIF(O5:O20,"🚩*")+COUNTIF(O5:O20,"🔴*")</f>
        <v>3</v>
      </c>
      <c r="P21" s="28">
        <f>SUMIF(C5:C20,"Aktie",P5:P20)+SUMIF(C5:C20,"&lt;&gt;Aktie",P5:P20)</f>
        <v>950.00000000000011</v>
      </c>
    </row>
    <row r="22" spans="1:16" ht="16.5" customHeight="1">
      <c r="K22" s="32">
        <f>SUMPRODUCT((C5:C20&lt;&gt;"Aktie")*ABS(K5:K20))/COUNTIF(C5:C20,"&lt;&gt;Aktie")</f>
        <v>1.838157247616181E-2</v>
      </c>
      <c r="L22" s="33" t="s">
        <v>75</v>
      </c>
      <c r="M22" s="34">
        <f>COUNTIF(M5:M9,"🚨 ÜBER CAP")</f>
        <v>0</v>
      </c>
      <c r="N22" s="35" t="s">
        <v>76</v>
      </c>
      <c r="O22" s="35" t="s">
        <v>77</v>
      </c>
      <c r="P22" s="36" t="s">
        <v>78</v>
      </c>
    </row>
    <row r="23" spans="1:16" ht="16.5" customHeight="1">
      <c r="A23" s="37" t="s">
        <v>79</v>
      </c>
      <c r="F23" s="38">
        <v>1291.77</v>
      </c>
    </row>
    <row r="24" spans="1:16" ht="16.5" customHeight="1">
      <c r="A24" s="39" t="s">
        <v>80</v>
      </c>
      <c r="F24" s="40">
        <v>950</v>
      </c>
    </row>
    <row r="25" spans="1:16" ht="16.5" customHeight="1">
      <c r="A25" s="37" t="s">
        <v>81</v>
      </c>
      <c r="F25" s="41">
        <f>F21 + F24</f>
        <v>13623.1</v>
      </c>
    </row>
    <row r="26" spans="1:16" ht="16.5" customHeight="1">
      <c r="A26" s="39" t="s">
        <v>82</v>
      </c>
      <c r="F26" s="42">
        <f>F24 - MIN(F23, SUMIFS(J5:J20, D5:D20, "Scalable", J5:J20, "&gt;0"))</f>
        <v>588.71373999999969</v>
      </c>
    </row>
  </sheetData>
  <mergeCells count="2">
    <mergeCell ref="A1:P1"/>
    <mergeCell ref="A2:P2"/>
  </mergeCells>
  <conditionalFormatting sqref="L5:L20">
    <cfRule type="expression" dxfId="17" priority="2">
      <formula>NOT(ISERROR(SEARCH("Reduzieren",L5)))</formula>
    </cfRule>
    <cfRule type="expression" dxfId="16" priority="3">
      <formula>NOT(ISERROR(SEARCH("Aufstocken",L5)))</formula>
    </cfRule>
    <cfRule type="expression" dxfId="15" priority="4">
      <formula>NOT(ISERROR(SEARCH("Halten",L5)))</formula>
    </cfRule>
  </conditionalFormatting>
  <conditionalFormatting sqref="M5:M20">
    <cfRule type="expression" dxfId="14" priority="5">
      <formula>NOT(ISERROR(SEARCH("ÜBER CAP",M5)))</formula>
    </cfRule>
    <cfRule type="expression" dxfId="13" priority="6">
      <formula>NOT(ISERROR(SEARCH("OK",M5)))</formula>
    </cfRule>
  </conditionalFormatting>
  <conditionalFormatting sqref="N5:N20">
    <cfRule type="expression" dxfId="12" priority="16" stopIfTrue="1">
      <formula>LEFT(N5,8)="DEFCON 4"</formula>
    </cfRule>
    <cfRule type="expression" dxfId="11" priority="16" stopIfTrue="1">
      <formula>LEFT(N5,8)="DEFCON 3"</formula>
    </cfRule>
    <cfRule type="expression" dxfId="10" priority="17" stopIfTrue="1">
      <formula>LEFT(N5,8)="DEFCON 2"</formula>
    </cfRule>
    <cfRule type="expression" dxfId="9" priority="18" stopIfTrue="1">
      <formula>LEFT(N5,8)="DEFCON 1"</formula>
    </cfRule>
  </conditionalFormatting>
  <conditionalFormatting sqref="O5:O20">
    <cfRule type="expression" dxfId="8" priority="19" stopIfTrue="1">
      <formula>O5="✅ Clean"</formula>
    </cfRule>
    <cfRule type="expression" dxfId="7" priority="19" stopIfTrue="1">
      <formula>LEFT(O5,1)="🟢"</formula>
    </cfRule>
    <cfRule type="expression" dxfId="6" priority="19" stopIfTrue="1">
      <formula>LEFT(O5,1)="🟡"</formula>
    </cfRule>
    <cfRule type="expression" dxfId="5" priority="20" stopIfTrue="1">
      <formula>LEFT(O5,1)="🚩"</formula>
    </cfRule>
    <cfRule type="expression" dxfId="4" priority="21" stopIfTrue="1">
      <formula>LEFT(O5,1)="🟠"</formula>
    </cfRule>
    <cfRule type="expression" dxfId="3" priority="22" stopIfTrue="1">
      <formula>LEFT(O5,1)="🔴"</formula>
    </cfRule>
  </conditionalFormatting>
  <conditionalFormatting sqref="P5:P20">
    <cfRule type="expression" dxfId="2" priority="15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activeCell="E43" sqref="E43"/>
    </sheetView>
  </sheetViews>
  <sheetFormatPr baseColWidth="10" defaultColWidth="9.140625" defaultRowHeight="1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>
      <c r="A1" s="43" t="s">
        <v>83</v>
      </c>
    </row>
    <row r="3" spans="1:5">
      <c r="A3" s="44" t="s">
        <v>1</v>
      </c>
      <c r="B3" s="44" t="s">
        <v>2</v>
      </c>
      <c r="C3" s="44" t="s">
        <v>84</v>
      </c>
      <c r="D3" s="44" t="s">
        <v>85</v>
      </c>
      <c r="E3" s="44" t="s">
        <v>86</v>
      </c>
    </row>
    <row r="4" spans="1:5">
      <c r="A4" s="45" t="str">
        <f>'Portfolio &amp; Rebalancing'!A5</f>
        <v>EUWAX Gold</v>
      </c>
      <c r="B4" s="46" t="str">
        <f>'Portfolio &amp; Rebalancing'!B5</f>
        <v>EWG2</v>
      </c>
      <c r="C4" s="47">
        <f>'Portfolio &amp; Rebalancing'!F5</f>
        <v>576</v>
      </c>
      <c r="D4" s="48">
        <f>'Portfolio &amp; Rebalancing'!E5</f>
        <v>0</v>
      </c>
      <c r="E4" s="47">
        <f t="shared" ref="E4:E19" si="0">C4*D4</f>
        <v>0</v>
      </c>
    </row>
    <row r="5" spans="1:5">
      <c r="A5" s="45" t="str">
        <f>'Portfolio &amp; Rebalancing'!A6</f>
        <v>iShares MSCI World</v>
      </c>
      <c r="B5" s="46" t="str">
        <f>'Portfolio &amp; Rebalancing'!B6</f>
        <v>IWDA</v>
      </c>
      <c r="C5" s="47">
        <f>'Portfolio &amp; Rebalancing'!F6</f>
        <v>3572.78</v>
      </c>
      <c r="D5" s="48">
        <f>'Portfolio &amp; Rebalancing'!E6</f>
        <v>0.7</v>
      </c>
      <c r="E5" s="47">
        <f t="shared" si="0"/>
        <v>2500.9459999999999</v>
      </c>
    </row>
    <row r="6" spans="1:5">
      <c r="A6" s="45" t="str">
        <f>'Portfolio &amp; Rebalancing'!A7</f>
        <v>iShares MSCI EM IMI</v>
      </c>
      <c r="B6" s="46" t="str">
        <f>'Portfolio &amp; Rebalancing'!B7</f>
        <v>EIMI</v>
      </c>
      <c r="C6" s="47">
        <f>'Portfolio &amp; Rebalancing'!F7</f>
        <v>1204.17</v>
      </c>
      <c r="D6" s="48">
        <f>'Portfolio &amp; Rebalancing'!E7</f>
        <v>0</v>
      </c>
      <c r="E6" s="47">
        <f t="shared" si="0"/>
        <v>0</v>
      </c>
    </row>
    <row r="7" spans="1:5">
      <c r="A7" s="45" t="str">
        <f>'Portfolio &amp; Rebalancing'!A8</f>
        <v>MSCI World ex-USA</v>
      </c>
      <c r="B7" s="46" t="str">
        <f>'Portfolio &amp; Rebalancing'!B8</f>
        <v>EXUSA</v>
      </c>
      <c r="C7" s="47">
        <f>'Portfolio &amp; Rebalancing'!F8</f>
        <v>1748.15</v>
      </c>
      <c r="D7" s="48">
        <f>'Portfolio &amp; Rebalancing'!E8</f>
        <v>0</v>
      </c>
      <c r="E7" s="47">
        <f t="shared" si="0"/>
        <v>0</v>
      </c>
    </row>
    <row r="8" spans="1:5">
      <c r="A8" s="45" t="str">
        <f>'Portfolio &amp; Rebalancing'!A9</f>
        <v>Avantis Small Cap Value</v>
      </c>
      <c r="B8" s="46" t="str">
        <f>'Portfolio &amp; Rebalancing'!B9</f>
        <v>AVGC</v>
      </c>
      <c r="C8" s="47">
        <f>'Portfolio &amp; Rebalancing'!F9</f>
        <v>1183</v>
      </c>
      <c r="D8" s="48">
        <f>'Portfolio &amp; Rebalancing'!E9</f>
        <v>0.67</v>
      </c>
      <c r="E8" s="47">
        <f t="shared" si="0"/>
        <v>792.61</v>
      </c>
    </row>
    <row r="9" spans="1:5">
      <c r="A9" s="45" t="str">
        <f>'Portfolio &amp; Rebalancing'!A10</f>
        <v>ASML Holding</v>
      </c>
      <c r="B9" s="46" t="str">
        <f>'Portfolio &amp; Rebalancing'!B10</f>
        <v>ASML</v>
      </c>
      <c r="C9" s="47">
        <f>'Portfolio &amp; Rebalancing'!F10</f>
        <v>406</v>
      </c>
      <c r="D9" s="48">
        <f>'Portfolio &amp; Rebalancing'!E10</f>
        <v>0</v>
      </c>
      <c r="E9" s="47">
        <f t="shared" si="0"/>
        <v>0</v>
      </c>
    </row>
    <row r="10" spans="1:5">
      <c r="A10" s="45" t="str">
        <f>'Portfolio &amp; Rebalancing'!A11</f>
        <v>Broadcom</v>
      </c>
      <c r="B10" s="46" t="str">
        <f>'Portfolio &amp; Rebalancing'!B11</f>
        <v>AVGO</v>
      </c>
      <c r="C10" s="47">
        <f>'Portfolio &amp; Rebalancing'!F11</f>
        <v>499</v>
      </c>
      <c r="D10" s="48">
        <f>'Portfolio &amp; Rebalancing'!E11</f>
        <v>1</v>
      </c>
      <c r="E10" s="47">
        <f t="shared" si="0"/>
        <v>499</v>
      </c>
    </row>
    <row r="11" spans="1:5">
      <c r="A11" s="45" t="str">
        <f>'Portfolio &amp; Rebalancing'!A12</f>
        <v>Microsoft</v>
      </c>
      <c r="B11" s="46" t="str">
        <f>'Portfolio &amp; Rebalancing'!B12</f>
        <v>MSFT</v>
      </c>
      <c r="C11" s="47">
        <f>'Portfolio &amp; Rebalancing'!F12</f>
        <v>379</v>
      </c>
      <c r="D11" s="48">
        <f>'Portfolio &amp; Rebalancing'!E12</f>
        <v>1</v>
      </c>
      <c r="E11" s="47">
        <f t="shared" si="0"/>
        <v>379</v>
      </c>
    </row>
    <row r="12" spans="1:5">
      <c r="A12" s="45" t="str">
        <f>'Portfolio &amp; Rebalancing'!A13</f>
        <v>Costco</v>
      </c>
      <c r="B12" s="46" t="str">
        <f>'Portfolio &amp; Rebalancing'!B13</f>
        <v>COST</v>
      </c>
      <c r="C12" s="47">
        <f>'Portfolio &amp; Rebalancing'!F13</f>
        <v>391</v>
      </c>
      <c r="D12" s="48">
        <f>'Portfolio &amp; Rebalancing'!E13</f>
        <v>1</v>
      </c>
      <c r="E12" s="47">
        <f t="shared" si="0"/>
        <v>391</v>
      </c>
    </row>
    <row r="13" spans="1:5">
      <c r="A13" s="45" t="str">
        <f>'Portfolio &amp; Rebalancing'!A14</f>
        <v>Hermès</v>
      </c>
      <c r="B13" s="46" t="str">
        <f>'Portfolio &amp; Rebalancing'!B14</f>
        <v>RMS</v>
      </c>
      <c r="C13" s="47">
        <f>'Portfolio &amp; Rebalancing'!F14</f>
        <v>397</v>
      </c>
      <c r="D13" s="48">
        <f>'Portfolio &amp; Rebalancing'!E14</f>
        <v>0</v>
      </c>
      <c r="E13" s="47">
        <f t="shared" si="0"/>
        <v>0</v>
      </c>
    </row>
    <row r="14" spans="1:5">
      <c r="A14" s="45" t="str">
        <f>'Portfolio &amp; Rebalancing'!A15</f>
        <v>Veeva Systems</v>
      </c>
      <c r="B14" s="46" t="str">
        <f>'Portfolio &amp; Rebalancing'!B15</f>
        <v>VEEV</v>
      </c>
      <c r="C14" s="47">
        <f>'Portfolio &amp; Rebalancing'!F15</f>
        <v>346</v>
      </c>
      <c r="D14" s="48">
        <f>'Portfolio &amp; Rebalancing'!E15</f>
        <v>1</v>
      </c>
      <c r="E14" s="47">
        <f t="shared" si="0"/>
        <v>346</v>
      </c>
    </row>
    <row r="15" spans="1:5">
      <c r="A15" s="45" t="str">
        <f>'Portfolio &amp; Rebalancing'!A16</f>
        <v>Schneider Electric</v>
      </c>
      <c r="B15" s="46" t="str">
        <f>'Portfolio &amp; Rebalancing'!B16</f>
        <v>SU</v>
      </c>
      <c r="C15" s="47">
        <f>'Portfolio &amp; Rebalancing'!F16</f>
        <v>405</v>
      </c>
      <c r="D15" s="48">
        <f>'Portfolio &amp; Rebalancing'!E16</f>
        <v>0</v>
      </c>
      <c r="E15" s="47">
        <f t="shared" si="0"/>
        <v>0</v>
      </c>
    </row>
    <row r="16" spans="1:5">
      <c r="A16" s="45" t="str">
        <f>'Portfolio &amp; Rebalancing'!A17</f>
        <v>Berkshire Hathaway</v>
      </c>
      <c r="B16" s="46" t="str">
        <f>'Portfolio &amp; Rebalancing'!B17</f>
        <v>BRK.B</v>
      </c>
      <c r="C16" s="47">
        <f>'Portfolio &amp; Rebalancing'!F17</f>
        <v>433</v>
      </c>
      <c r="D16" s="48">
        <f>'Portfolio &amp; Rebalancing'!E17</f>
        <v>1</v>
      </c>
      <c r="E16" s="47">
        <f t="shared" si="0"/>
        <v>433</v>
      </c>
    </row>
    <row r="17" spans="1:5">
      <c r="A17" s="45" t="str">
        <f>'Portfolio &amp; Rebalancing'!A18</f>
        <v>Visa</v>
      </c>
      <c r="B17" s="46" t="str">
        <f>'Portfolio &amp; Rebalancing'!B18</f>
        <v>V</v>
      </c>
      <c r="C17" s="47">
        <f>'Portfolio &amp; Rebalancing'!F18</f>
        <v>480</v>
      </c>
      <c r="D17" s="48">
        <f>'Portfolio &amp; Rebalancing'!E18</f>
        <v>1</v>
      </c>
      <c r="E17" s="47">
        <f t="shared" si="0"/>
        <v>480</v>
      </c>
    </row>
    <row r="18" spans="1:5">
      <c r="A18" s="45" t="str">
        <f>'Portfolio &amp; Rebalancing'!A19</f>
        <v>Thermo Fisher</v>
      </c>
      <c r="B18" s="46" t="str">
        <f>'Portfolio &amp; Rebalancing'!B19</f>
        <v>TMO</v>
      </c>
      <c r="C18" s="47">
        <f>'Portfolio &amp; Rebalancing'!F19</f>
        <v>321</v>
      </c>
      <c r="D18" s="48">
        <f>'Portfolio &amp; Rebalancing'!E19</f>
        <v>1</v>
      </c>
      <c r="E18" s="47">
        <f t="shared" si="0"/>
        <v>321</v>
      </c>
    </row>
    <row r="19" spans="1:5">
      <c r="A19" s="45" t="str">
        <f>'Portfolio &amp; Rebalancing'!A20</f>
        <v>Amphenol</v>
      </c>
      <c r="B19" s="46" t="str">
        <f>'Portfolio &amp; Rebalancing'!B20</f>
        <v>APH</v>
      </c>
      <c r="C19" s="47">
        <f>'Portfolio &amp; Rebalancing'!F20</f>
        <v>332</v>
      </c>
      <c r="D19" s="48">
        <f>'Portfolio &amp; Rebalancing'!E20</f>
        <v>1</v>
      </c>
      <c r="E19" s="47">
        <f t="shared" si="0"/>
        <v>332</v>
      </c>
    </row>
    <row r="20" spans="1:5">
      <c r="A20" s="49" t="s">
        <v>87</v>
      </c>
      <c r="C20" s="50">
        <f>'Portfolio &amp; Rebalancing'!F21</f>
        <v>12673.1</v>
      </c>
      <c r="E20" s="50">
        <f>SUM(E4:E19)</f>
        <v>6474.5560000000005</v>
      </c>
    </row>
    <row r="22" spans="1:5">
      <c r="A22" s="49" t="s">
        <v>88</v>
      </c>
      <c r="B22" s="51">
        <f>IF('Portfolio &amp; Rebalancing'!F25=0,0,E20/'Portfolio &amp; Rebalancing'!F25)</f>
        <v>0.47526304585593587</v>
      </c>
    </row>
    <row r="23" spans="1:5">
      <c r="A23" s="49" t="s">
        <v>89</v>
      </c>
      <c r="B23" s="51">
        <f>SUMPRODUCT('Portfolio &amp; Rebalancing'!$E$5:$E$20,'Portfolio &amp; Rebalancing'!$I$5:$I$20)/SUM('Portfolio &amp; Rebalancing'!$I$5:$I$20)</f>
        <v>0.49509999999999998</v>
      </c>
    </row>
    <row r="24" spans="1:5">
      <c r="A24" s="49" t="s">
        <v>90</v>
      </c>
      <c r="B24" s="52">
        <f>'Parameter &amp; Regeln'!B11</f>
        <v>0.63</v>
      </c>
    </row>
    <row r="25" spans="1:5">
      <c r="A25" s="49" t="s">
        <v>91</v>
      </c>
      <c r="B25" s="49" t="str">
        <f>IF(B22&gt;B24,"⛔ ÜBER CAP","✅ OK")</f>
        <v>✅ OK</v>
      </c>
    </row>
    <row r="26" spans="1:5">
      <c r="A26" s="49" t="s">
        <v>92</v>
      </c>
      <c r="B26" s="49" t="str">
        <f>IF(B23&gt;B24,"⛔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>
      <selection activeCell="B26" sqref="B26"/>
    </sheetView>
  </sheetViews>
  <sheetFormatPr baseColWidth="10" defaultColWidth="9.140625" defaultRowHeight="15"/>
  <cols>
    <col min="1" max="1" width="44.85546875" customWidth="1"/>
    <col min="2" max="2" width="27.7109375" customWidth="1"/>
    <col min="3" max="3" width="37.42578125" customWidth="1"/>
  </cols>
  <sheetData>
    <row r="1" spans="1:3" ht="18.75" customHeight="1">
      <c r="A1" s="43" t="s">
        <v>93</v>
      </c>
    </row>
    <row r="3" spans="1:3">
      <c r="A3" s="44" t="s">
        <v>94</v>
      </c>
      <c r="B3" s="44" t="s">
        <v>95</v>
      </c>
      <c r="C3" s="44" t="s">
        <v>96</v>
      </c>
    </row>
    <row r="4" spans="1:3">
      <c r="A4" s="45" t="s">
        <v>97</v>
      </c>
      <c r="B4" s="53">
        <v>950</v>
      </c>
      <c r="C4" s="54" t="s">
        <v>98</v>
      </c>
    </row>
    <row r="5" spans="1:3">
      <c r="A5" s="45" t="s">
        <v>99</v>
      </c>
      <c r="B5" s="55">
        <v>0.65</v>
      </c>
      <c r="C5" s="54" t="s">
        <v>100</v>
      </c>
    </row>
    <row r="6" spans="1:3">
      <c r="A6" s="45" t="s">
        <v>101</v>
      </c>
      <c r="B6" s="55">
        <v>0.3</v>
      </c>
      <c r="C6" s="54" t="s">
        <v>100</v>
      </c>
    </row>
    <row r="7" spans="1:3">
      <c r="A7" s="45" t="s">
        <v>102</v>
      </c>
      <c r="B7" s="55">
        <v>0.05</v>
      </c>
      <c r="C7" s="54" t="s">
        <v>100</v>
      </c>
    </row>
    <row r="8" spans="1:3">
      <c r="A8" s="45" t="s">
        <v>103</v>
      </c>
      <c r="B8" s="56">
        <v>1.4999999999999999E-2</v>
      </c>
      <c r="C8" s="54" t="s">
        <v>100</v>
      </c>
    </row>
    <row r="9" spans="1:3">
      <c r="A9" s="45" t="s">
        <v>104</v>
      </c>
      <c r="B9" s="56">
        <v>0.04</v>
      </c>
      <c r="C9" s="54" t="s">
        <v>100</v>
      </c>
    </row>
    <row r="10" spans="1:3">
      <c r="A10" s="45" t="s">
        <v>105</v>
      </c>
      <c r="B10" s="55">
        <v>0.1</v>
      </c>
      <c r="C10" s="54" t="s">
        <v>100</v>
      </c>
    </row>
    <row r="11" spans="1:3">
      <c r="A11" s="45" t="s">
        <v>90</v>
      </c>
      <c r="B11" s="55">
        <v>0.63</v>
      </c>
      <c r="C11" s="54" t="s">
        <v>100</v>
      </c>
    </row>
    <row r="12" spans="1:3">
      <c r="A12" s="45" t="s">
        <v>106</v>
      </c>
      <c r="B12" s="54">
        <v>11</v>
      </c>
    </row>
    <row r="13" spans="1:3">
      <c r="A13" s="45" t="s">
        <v>107</v>
      </c>
      <c r="B13" s="54">
        <f>COUNTIF('Portfolio &amp; Rebalancing'!C5:C20,"Aktie")</f>
        <v>11</v>
      </c>
    </row>
    <row r="14" spans="1:3">
      <c r="A14" s="45" t="s">
        <v>108</v>
      </c>
      <c r="B14" s="57">
        <f>COUNTA('Portfolio &amp; Rebalancing'!A5:A20)</f>
        <v>16</v>
      </c>
    </row>
    <row r="15" spans="1:3">
      <c r="A15" s="45" t="s">
        <v>109</v>
      </c>
      <c r="B15" s="57">
        <v>3</v>
      </c>
      <c r="C15" s="54" t="s">
        <v>110</v>
      </c>
    </row>
    <row r="16" spans="1:3">
      <c r="A16" s="45" t="s">
        <v>111</v>
      </c>
      <c r="B16" s="55">
        <f>B5+B6+B7</f>
        <v>1</v>
      </c>
      <c r="C16" s="54" t="s">
        <v>100</v>
      </c>
    </row>
    <row r="17" spans="1:3" ht="15.75" customHeight="1">
      <c r="A17" s="58" t="s">
        <v>112</v>
      </c>
    </row>
    <row r="19" spans="1:3">
      <c r="A19" s="59" t="s">
        <v>113</v>
      </c>
      <c r="B19" s="59" t="s">
        <v>114</v>
      </c>
      <c r="C19" s="59" t="s">
        <v>12</v>
      </c>
    </row>
    <row r="20" spans="1:3">
      <c r="A20" s="45" t="s">
        <v>115</v>
      </c>
      <c r="B20" s="54" t="s">
        <v>116</v>
      </c>
      <c r="C20" s="54" t="s">
        <v>117</v>
      </c>
    </row>
    <row r="21" spans="1:3">
      <c r="A21" s="45" t="s">
        <v>118</v>
      </c>
      <c r="B21" s="54" t="s">
        <v>119</v>
      </c>
      <c r="C21" s="54" t="s">
        <v>120</v>
      </c>
    </row>
    <row r="22" spans="1:3">
      <c r="A22" s="45" t="s">
        <v>121</v>
      </c>
      <c r="B22" s="54" t="s">
        <v>122</v>
      </c>
      <c r="C22" s="54" t="s">
        <v>123</v>
      </c>
    </row>
    <row r="23" spans="1:3">
      <c r="A23" s="45" t="s">
        <v>124</v>
      </c>
      <c r="B23" s="54" t="s">
        <v>125</v>
      </c>
      <c r="C23" s="54" t="s">
        <v>126</v>
      </c>
    </row>
    <row r="25" spans="1:3">
      <c r="A25" s="60" t="s">
        <v>127</v>
      </c>
      <c r="B25" s="66">
        <f>B4*B6</f>
        <v>285</v>
      </c>
      <c r="C25" s="61" t="s">
        <v>98</v>
      </c>
    </row>
    <row r="26" spans="1:3">
      <c r="A26" s="60" t="s">
        <v>128</v>
      </c>
      <c r="B26" s="68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>7</v>
      </c>
    </row>
    <row r="27" spans="1:3">
      <c r="A27" s="62" t="s">
        <v>129</v>
      </c>
      <c r="B27" s="67">
        <v>0.5</v>
      </c>
      <c r="C27" s="65" t="s">
        <v>100</v>
      </c>
    </row>
    <row r="28" spans="1:3">
      <c r="A28" s="63" t="s">
        <v>130</v>
      </c>
    </row>
    <row r="29" spans="1:3">
      <c r="A29" s="62" t="s">
        <v>131</v>
      </c>
      <c r="B29" s="64" t="s">
        <v>132</v>
      </c>
      <c r="C29" s="62" t="s">
        <v>133</v>
      </c>
    </row>
    <row r="30" spans="1:3">
      <c r="A30" s="62" t="s">
        <v>134</v>
      </c>
      <c r="B30" s="64" t="s">
        <v>135</v>
      </c>
      <c r="C30" s="62" t="s">
        <v>136</v>
      </c>
    </row>
    <row r="31" spans="1:3">
      <c r="A31" s="62" t="s">
        <v>137</v>
      </c>
      <c r="B31" s="64" t="s">
        <v>138</v>
      </c>
      <c r="C31" s="62" t="s">
        <v>139</v>
      </c>
    </row>
    <row r="32" spans="1:3">
      <c r="A32" s="62" t="s">
        <v>140</v>
      </c>
      <c r="B32" s="64" t="s">
        <v>138</v>
      </c>
      <c r="C32" s="62" t="s">
        <v>141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2026-05-04T16:03:36Z</dcterms:modified>
</cp:coreProperties>
</file>