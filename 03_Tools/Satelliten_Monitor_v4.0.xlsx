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Satelliten Monitor" sheetId="1" state="visible" r:id="rId1"/>
    <sheet xmlns:r="http://schemas.openxmlformats.org/officeDocument/2006/relationships" name="QuickScreen Ampel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€#,##0.00"/>
  </numFmts>
  <fonts count="24">
    <font>
      <name val="Calibri"/>
      <charset val="1"/>
      <family val="2"/>
      <color theme="1"/>
      <sz val="11"/>
    </font>
    <font>
      <name val="Calibri"/>
      <charset val="1"/>
      <color rgb="FFFFFFFF"/>
      <sz val="9"/>
    </font>
    <font>
      <name val="Calibri"/>
      <charset val="1"/>
      <b val="1"/>
      <color rgb="FFFFFFFF"/>
      <sz val="10"/>
    </font>
    <font>
      <name val="Calibri"/>
      <charset val="1"/>
      <b val="1"/>
      <sz val="9"/>
    </font>
    <font>
      <name val="Calibri"/>
      <charset val="1"/>
      <sz val="9"/>
    </font>
    <font>
      <name val="Calibri"/>
      <charset val="1"/>
      <color rgb="FF0000FF"/>
      <sz val="9"/>
    </font>
    <font>
      <name val="Calibri"/>
      <charset val="1"/>
      <color rgb="FF000000"/>
      <sz val="9"/>
    </font>
    <font>
      <name val="Calibri"/>
      <charset val="1"/>
      <i val="1"/>
      <color rgb="FF888888"/>
      <sz val="9"/>
    </font>
    <font>
      <name val="Calibri"/>
      <charset val="1"/>
      <b val="1"/>
      <color rgb="FFFFFFFF"/>
      <sz val="9"/>
    </font>
    <font>
      <name val="Segoe UI Emoji"/>
      <b val="1"/>
      <color rgb="FFFFFFFF"/>
      <sz val="12"/>
    </font>
    <font>
      <name val="Segoe UI Emoji"/>
      <color rgb="FFFFFFFF"/>
      <sz val="9"/>
    </font>
    <font>
      <name val="Segoe UI Emoji"/>
      <sz val="9"/>
    </font>
    <font>
      <name val="Segoe UI Emoji"/>
      <color rgb="FF444444"/>
      <sz val="8"/>
    </font>
    <font>
      <name val="Segoe UI Emoji"/>
      <b val="1"/>
      <color rgb="FFBF8F00"/>
      <sz val="9"/>
    </font>
    <font>
      <name val="Segoe UI Emoji"/>
      <b val="1"/>
      <color rgb="FFC00000"/>
      <sz val="9"/>
    </font>
    <font>
      <name val="Segoe UI Emoji"/>
      <b val="1"/>
      <color rgb="FF107C10"/>
      <sz val="9"/>
    </font>
    <font>
      <name val="Segoe UI Emoji"/>
      <color rgb="FF107C10"/>
      <sz val="8"/>
    </font>
    <font>
      <name val="Segoe UI Emoji"/>
      <color rgb="FFBF8F00"/>
      <sz val="8"/>
    </font>
    <font>
      <name val="Segoe UI Emoji"/>
      <color rgb="FFC00000"/>
      <sz val="8"/>
    </font>
    <font>
      <name val="Segoe UI Emoji"/>
      <family val="2"/>
      <color theme="0"/>
      <sz val="9"/>
    </font>
    <font>
      <name val="Segoe UI Emoji"/>
      <color rgb="FF000000"/>
      <sz val="9"/>
    </font>
    <font>
      <name val="Segoe UI Emoji"/>
      <b val="1"/>
      <color rgb="FF000000"/>
      <sz val="9"/>
    </font>
    <font>
      <name val="Calibri"/>
      <charset val="1"/>
      <b val="1"/>
      <i val="1"/>
      <color rgb="FF808080"/>
      <sz val="10"/>
    </font>
    <font>
      <name val="Calibri"/>
      <charset val="1"/>
      <family val="2"/>
      <i val="1"/>
      <color rgb="FF808080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2E4B7C"/>
      </patternFill>
    </fill>
    <fill>
      <patternFill patternType="solid">
        <fgColor rgb="FF2E4B7C"/>
        <bgColor rgb="FF1F3864"/>
      </patternFill>
    </fill>
    <fill>
      <patternFill patternType="solid">
        <fgColor rgb="FFF2F2F2"/>
        <bgColor rgb="FFF5F5F5"/>
      </patternFill>
    </fill>
    <fill>
      <patternFill patternType="solid">
        <fgColor rgb="FFFAFAFA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EBF3FF"/>
        <bgColor rgb="FFF2F2F2"/>
      </patternFill>
    </fill>
    <fill>
      <patternFill patternType="solid">
        <fgColor rgb="FFF5F5F5"/>
        <bgColor rgb="FFF2F2F2"/>
      </patternFill>
    </fill>
    <fill>
      <patternFill patternType="solid">
        <fgColor rgb="FFE2EFDA"/>
        <bgColor rgb="FFD6F0DA"/>
      </patternFill>
    </fill>
    <fill>
      <patternFill patternType="solid">
        <fgColor rgb="FFFFE0E0"/>
        <bgColor rgb="FFFCE4D6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4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164" fontId="3" fillId="9" borderId="1" applyAlignment="1" pivotButton="0" quotePrefix="0" xfId="0">
      <alignment horizontal="right" vertical="center"/>
    </xf>
    <xf numFmtId="1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14" fontId="4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 inden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14" fontId="4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 indent="1"/>
    </xf>
    <xf numFmtId="0" fontId="14" fillId="1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2" fillId="2" borderId="4" applyAlignment="1" pivotButton="0" quotePrefix="0" xfId="0">
      <alignment horizontal="center" vertical="center" wrapText="1"/>
    </xf>
    <xf numFmtId="0" fontId="23" fillId="0" borderId="0" pivotButton="0" quotePrefix="0" xfId="0"/>
    <xf numFmtId="0" fontId="10" fillId="3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1" fillId="2" borderId="0" applyAlignment="1" pivotButton="0" quotePrefix="0" xfId="0">
      <alignment horizontal="right" vertical="center" indent="1"/>
    </xf>
    <xf numFmtId="0" fontId="12" fillId="4" borderId="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3" pivotButton="0" quotePrefix="0" xfId="0"/>
    <xf numFmtId="0" fontId="18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 wrapText="1" indent="1"/>
    </xf>
    <xf numFmtId="0" fontId="10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 indent="1"/>
    </xf>
    <xf numFmtId="0" fontId="9" fillId="2" borderId="0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19" fillId="3" borderId="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</cellXfs>
  <cellStyles count="1">
    <cellStyle name="Standard" xfId="0" builtinId="0"/>
  </cellStyles>
  <dxfs count="41">
    <dxf>
      <font>
        <color rgb="FF107C10"/>
      </font>
      <fill>
        <patternFill patternType="solid">
          <fgColor indexed="64"/>
          <bgColor rgb="FFE2EFDA"/>
        </patternFill>
      </fill>
    </dxf>
    <dxf>
      <font>
        <color rgb="FF107C10"/>
      </font>
      <fill>
        <patternFill patternType="solid">
          <fgColor indexed="64"/>
          <bgColor rgb="FFE2EFDA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107C10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107C10"/>
      </font>
      <fill>
        <patternFill patternType="solid">
          <fgColor indexed="64"/>
          <bgColor rgb="FFE2EFDA"/>
        </patternFill>
      </fill>
    </dxf>
    <dxf>
      <font>
        <color rgb="FF107C10"/>
      </font>
      <fill>
        <patternFill patternType="solid">
          <fgColor indexed="64"/>
          <bgColor rgb="FFE2EFDA"/>
        </patternFill>
      </fill>
    </dxf>
    <dxf>
      <font>
        <color rgb="FF808080"/>
      </font>
      <fill>
        <patternFill patternType="solid">
          <fgColor indexed="64"/>
          <bgColor rgb="FFF2F2F2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107C10"/>
      </font>
      <fill>
        <patternFill patternType="solid">
          <fgColor indexed="64"/>
          <bgColor rgb="FFE2EFDA"/>
        </patternFill>
      </fill>
    </dxf>
    <dxf>
      <font>
        <color rgb="FF107C10"/>
      </font>
      <fill>
        <patternFill patternType="solid">
          <fgColor indexed="64"/>
          <bgColor rgb="FFE2EFDA"/>
        </patternFill>
      </fill>
    </dxf>
    <dxf>
      <font>
        <b val="1"/>
        <color rgb="FFCC0000"/>
        <sz val="9"/>
      </font>
      <fill>
        <patternFill>
          <bgColor rgb="FFFFD0D0"/>
        </patternFill>
      </fill>
    </dxf>
    <dxf>
      <fill>
        <patternFill>
          <bgColor rgb="FFFFF2CC"/>
        </patternFill>
      </fill>
    </dxf>
    <dxf>
      <fill>
        <patternFill>
          <bgColor rgb="FFD6F0DA"/>
        </patternFill>
      </fill>
    </dxf>
    <dxf>
      <fill>
        <patternFill>
          <bgColor rgb="FFD6F0DA"/>
        </patternFill>
      </fill>
    </dxf>
    <dxf>
      <fill>
        <patternFill>
          <bgColor rgb="FFFFD0D0"/>
        </patternFill>
      </fill>
    </dxf>
    <dxf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FCE4D6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5F5F5"/>
        </patternFill>
      </fill>
    </dxf>
    <dxf>
      <font>
        <b val="1"/>
        <color rgb="FF006600"/>
        <sz val="9"/>
      </font>
      <fill>
        <patternFill>
          <bgColor rgb="FFD6F0DA"/>
        </patternFill>
      </fill>
    </dxf>
    <dxf>
      <font>
        <b val="1"/>
        <color rgb="FFCC0000"/>
        <sz val="9"/>
      </font>
      <fill>
        <patternFill>
          <bgColor rgb="FFFF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43C0C"/>
      </font>
      <fill>
        <patternFill patternType="solid">
          <fgColor rgb="FFFCE4D6"/>
          <bgColor rgb="FFFCE4D6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276221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2CC"/>
      <rgbColor rgb="FFEBF3FF"/>
      <rgbColor rgb="FF660066"/>
      <rgbColor rgb="FFFF8080"/>
      <rgbColor rgb="FF0066CC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6F0DA"/>
      <rgbColor rgb="FFFCE4D6"/>
      <rgbColor rgb="FFF2F2F2"/>
      <rgbColor rgb="FFF5F5F5"/>
      <rgbColor rgb="FFFAFAFA"/>
      <rgbColor rgb="FFFF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4B7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2:S27"/>
  <sheetViews>
    <sheetView tabSelected="1" zoomScaleNormal="100" workbookViewId="0">
      <pane xSplit="1" ySplit="5" topLeftCell="B7" activePane="bottomRight" state="frozen"/>
      <selection pane="topRight" activeCell="B1" sqref="B1"/>
      <selection pane="bottomLeft" activeCell="A6" sqref="A6"/>
      <selection pane="bottomRight" activeCell="J10" sqref="J10"/>
    </sheetView>
  </sheetViews>
  <sheetFormatPr baseColWidth="10" defaultColWidth="9.140625" defaultRowHeight="15"/>
  <cols>
    <col width="2" customWidth="1" style="34" min="1" max="1"/>
    <col width="7" customWidth="1" style="34" min="2" max="2"/>
    <col width="18" customWidth="1" style="34" min="3" max="3"/>
    <col width="14" customWidth="1" style="34" min="4" max="4"/>
    <col width="12" customWidth="1" style="34" min="5" max="5"/>
    <col width="10" customWidth="1" style="34" min="6" max="6"/>
    <col width="11" customWidth="1" style="34" min="7" max="7"/>
    <col width="10" customWidth="1" style="34" min="8" max="8"/>
    <col width="13" customWidth="1" style="34" min="9" max="9"/>
    <col width="14" customWidth="1" style="34" min="10" max="10"/>
    <col width="8" customWidth="1" style="34" min="11" max="11"/>
    <col width="14" customWidth="1" style="34" min="12" max="12"/>
    <col width="8" customWidth="1" style="34" min="13" max="13"/>
    <col width="26" customWidth="1" style="34" min="14" max="14"/>
    <col width="21.7109375" customWidth="1" style="34" min="15" max="15"/>
    <col width="21.85546875" customWidth="1" style="34" min="16" max="16"/>
    <col width="20.140625" customWidth="1" style="34" min="17" max="17"/>
    <col width="18.85546875" customWidth="1" style="34" min="18" max="18"/>
    <col width="59.42578125" customWidth="1" style="34" min="19" max="19"/>
  </cols>
  <sheetData>
    <row r="1" ht="6" customHeight="1" s="34"/>
    <row r="2" ht="27.75" customHeight="1" s="34">
      <c r="B2" s="45" t="inlineStr">
        <is>
          <t>🦅  DYNASTIEDEPOT – SATELLITEN MONITOR v4.0</t>
        </is>
      </c>
      <c r="O2" s="35" t="inlineStr">
        <is>
          <t>Stand: 13.06.2026 (KYCCF O3-Vollanalyse 67/D3 — JGAAP-Primaerquelle; NOW/ZETA Vollanalyse ausstehend; VEEV/COST entfernt)  |  Broker: Scalable Capital  |  Slots: 13/13</t>
        </is>
      </c>
    </row>
    <row r="3" ht="78" customHeight="1" s="34">
      <c r="B3" s="33" t="inlineStr">
        <is>
          <t>Sparrate Satelliten (Tier-System ab 06.06.2026): Funded 210 €/Monat | SOLL 364 €/Monat | Tier 1 = 40€, Tier 2 = 32€, Tier 3 = 18€ (DEFCON/FLAG überschreibt SOLL) | Real-Raten &amp; Geldfluss: siehe Rebalancing-Tool (source of truth)</t>
        </is>
      </c>
      <c r="E3" s="42" t="inlineStr">
        <is>
          <t>Vollanalysiert: 11 / 13  |  Ausstehend: 2 / 13 (NOW, ZETA)</t>
        </is>
      </c>
      <c r="H3" s="43" t="inlineStr">
        <is>
          <t>Eingefroren: AMZN (● CapEx/OCF 99,2%, D1, ab 15.05.) | APH (● Score-basiert 61, D2) | AVGO (● Insider-Selling 90d $106M+, ab 27.04.) | MSFT (● CapEx/OCF &gt;60%, D2) → Sparrate 0€</t>
        </is>
      </c>
      <c r="K3" s="43" t="inlineStr">
        <is>
          <t>Ergebnis: ● 8 Volle Tier-Rate  ● 1 D2-Sockelbetrag (V, 16€)  ● 4 Eingefroren (AMZN, APH, AVGO, MSFT)  |  Funded 210€ / SOLL 364€</t>
        </is>
      </c>
      <c r="N3" s="44" t="inlineStr">
        <is>
          <t>Quellen: Vollanalyse [V] | Kalibrierungsanalyse [KB] | Schätzung [~] | Tariff-Check [TC]</t>
        </is>
      </c>
    </row>
    <row r="4" ht="18" customHeight="1" s="3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30" customHeight="1" s="34">
      <c r="B5" s="2" t="inlineStr">
        <is>
          <t>Ticker</t>
        </is>
      </c>
      <c r="C5" s="2" t="inlineStr">
        <is>
          <t>Name</t>
        </is>
      </c>
      <c r="D5" s="2" t="inlineStr">
        <is>
          <t>Sektor</t>
        </is>
      </c>
      <c r="E5" s="2" t="inlineStr">
        <is>
          <t>P/FCF</t>
        </is>
      </c>
      <c r="F5" s="2" t="inlineStr">
        <is>
          <t>ROIC %</t>
        </is>
      </c>
      <c r="G5" s="2" t="inlineStr">
        <is>
          <t>Gross Margin %</t>
        </is>
      </c>
      <c r="H5" s="2" t="inlineStr">
        <is>
          <t>Rev CAGR 3Y</t>
        </is>
      </c>
      <c r="I5" s="2" t="inlineStr">
        <is>
          <t>Moat (GuruFocus)</t>
        </is>
      </c>
      <c r="J5" s="2" t="inlineStr">
        <is>
          <t>P/B / Excpt.</t>
        </is>
      </c>
      <c r="K5" s="2" t="inlineStr">
        <is>
          <t>Exception</t>
        </is>
      </c>
      <c r="L5" s="2" t="inlineStr">
        <is>
          <t>DEFCON Score</t>
        </is>
      </c>
      <c r="M5" s="2" t="inlineStr">
        <is>
          <t>Δ Score</t>
        </is>
      </c>
      <c r="N5" s="2" t="inlineStr">
        <is>
          <t>Status / FLAG</t>
        </is>
      </c>
      <c r="O5" s="2" t="inlineStr">
        <is>
          <t>Sparrate
€/Monat</t>
        </is>
      </c>
      <c r="P5" s="2" t="inlineStr">
        <is>
          <t>Nächster
Check</t>
        </is>
      </c>
      <c r="Q5" s="2" t="inlineStr">
        <is>
          <t>Score-
Datum</t>
        </is>
      </c>
      <c r="R5" s="2" t="inlineStr">
        <is>
          <t>Alter
(Tage)</t>
        </is>
      </c>
      <c r="S5" s="2" t="inlineStr">
        <is>
          <t>Hinweis</t>
        </is>
      </c>
    </row>
    <row r="6" ht="3.75" customHeight="1" s="34"/>
    <row r="7" ht="141.95" customHeight="1" s="34">
      <c r="B7" s="9" t="inlineStr">
        <is>
          <t>AMZN</t>
        </is>
      </c>
      <c r="C7" s="10" t="inlineStr">
        <is>
          <t>Amazon.com</t>
        </is>
      </c>
      <c r="D7" s="11" t="inlineStr">
        <is>
          <t>Hyperscaler (AWS/E-Com/Ads)</t>
        </is>
      </c>
      <c r="E7" s="12" t="inlineStr">
        <is>
          <t>2305x [V 15.05.]</t>
        </is>
      </c>
      <c r="F7" s="12" t="inlineStr">
        <is>
          <t>5.4% GAAP [V 15.05.]</t>
        </is>
      </c>
      <c r="G7" s="12" t="inlineStr">
        <is>
          <t>~50% [~]</t>
        </is>
      </c>
      <c r="H7" s="12" t="inlineStr">
        <is>
          <t>~12% [~]</t>
        </is>
      </c>
      <c r="I7" s="11" t="inlineStr">
        <is>
          <t>Wide / 19 [V 15.05.]</t>
        </is>
      </c>
      <c r="J7" s="11" t="inlineStr">
        <is>
          <t>n.a.</t>
        </is>
      </c>
      <c r="K7" s="11" t="inlineStr">
        <is>
          <t>Nein</t>
        </is>
      </c>
      <c r="L7" s="11" t="inlineStr">
        <is>
          <t>42 / DEFCON 1</t>
        </is>
      </c>
      <c r="M7" s="11" t="inlineStr">
        <is>
          <t>NEU 18.05.</t>
        </is>
      </c>
      <c r="N7" s="20" t="inlineStr">
        <is>
          <t>● FLAG: CapEx/OCF 99,2% (TTM netto, &gt;&gt;60%) | DEFCON 1 (42) | Sparrate 0€ | Re-Eval Q2 FY26 30.07.</t>
        </is>
      </c>
      <c r="O7" s="3" t="n">
        <v>0</v>
      </c>
      <c r="P7" s="11" t="inlineStr">
        <is>
          <t>Q2 FY26 ~Ende Juli</t>
        </is>
      </c>
      <c r="Q7" s="14" t="n">
        <v>46157</v>
      </c>
      <c r="R7" s="8">
        <f>IF(Q7="","",TODAY()-Q7)</f>
        <v/>
      </c>
      <c r="S7" s="15" t="inlineStr">
        <is>
          <t>[V 15.05.] Neuaufnahme 12. Satellit (User-Direktive 18.05.). Score 42/D1. CapEx/OCF TTM netto 99,2% (P&amp;E-net $147,3B / OCF $148,5B) &gt;&gt;60%, schaerfer als GOOGL 74-79%. FCF TTM $1,23B -95% YoY. §410 N/A (GW 2,6%). QT-hart fwd_pe/p_fcf 0. ROIC 5,4% GAAP &lt;&lt; WACC 15,57%. Sparrate 0€ regelkonform (kein Owner-Override, FLAG heilig). Resolve-Gate &lt;60%.</t>
        </is>
      </c>
    </row>
    <row r="8" ht="141.95" customHeight="1" s="34">
      <c r="B8" s="9" t="inlineStr">
        <is>
          <t>APH</t>
        </is>
      </c>
      <c r="C8" s="10" t="inlineStr">
        <is>
          <t>Amphenol Corp.</t>
        </is>
      </c>
      <c r="D8" s="11" t="inlineStr">
        <is>
          <t>Steckverbinder</t>
        </is>
      </c>
      <c r="E8" s="12" t="inlineStr">
        <is>
          <t>~28x [~]</t>
        </is>
      </c>
      <c r="F8" s="12" t="inlineStr">
        <is>
          <t>~22% [~]</t>
        </is>
      </c>
      <c r="G8" s="12" t="inlineStr">
        <is>
          <t>~32% [V]</t>
        </is>
      </c>
      <c r="H8" s="12" t="inlineStr">
        <is>
          <t>~18% [~]</t>
        </is>
      </c>
      <c r="I8" s="11" t="inlineStr">
        <is>
          <t>Narrow/Wide</t>
        </is>
      </c>
      <c r="J8" s="11" t="inlineStr">
        <is>
          <t>n.a.</t>
        </is>
      </c>
      <c r="K8" s="11" t="inlineStr">
        <is>
          <t>Nein</t>
        </is>
      </c>
      <c r="L8" s="11" t="inlineStr">
        <is>
          <t>61 / DEFCON 2</t>
        </is>
      </c>
      <c r="M8" s="11" t="inlineStr">
        <is>
          <t>-2 vs 17.04. (Q1 FY26 Vollanalyse)</t>
        </is>
      </c>
      <c r="N8" s="20" t="inlineStr">
        <is>
          <t>● FLAG: Score 61 (DEFCON 2, &lt;65 D3-Threshold) | CommScope-NL 1,6x | China-Tax 27% [Q2 FY26 29.07.2026] | Sparrate 0€</t>
        </is>
      </c>
      <c r="O8" s="3" t="n">
        <v>0</v>
      </c>
      <c r="P8" s="11" t="inlineStr">
        <is>
          <t>Q2 FY26 Earnings 29.07.2026</t>
        </is>
      </c>
      <c r="Q8" s="14" t="n">
        <v>46129</v>
      </c>
      <c r="R8" s="8">
        <f>IF(Q8="","",TODAY()-Q8)</f>
        <v/>
      </c>
      <c r="S8" s="15" t="inlineStr">
        <is>
          <t>[V+TC] DEFCON 2 seit 18.04. Schema-Alignment. FLAG aktiv (Score-basiert 63 + D2). Tariff-Check 15.04.: China Rev 14,7% &lt; 15%-Schwelle -&gt; kein Revenue-FLAG. Supply-Chain CN/MY Risk-Map aktiv. Sparrate 0€.</t>
        </is>
      </c>
    </row>
    <row r="9" ht="141.95" customHeight="1" s="34">
      <c r="B9" s="9" t="inlineStr">
        <is>
          <t>ASML</t>
        </is>
      </c>
      <c r="C9" s="10" t="inlineStr">
        <is>
          <t>ASML Holding NV</t>
        </is>
      </c>
      <c r="D9" s="11" t="inlineStr">
        <is>
          <t>Halbleiter-Equip</t>
        </is>
      </c>
      <c r="E9" s="12" t="inlineStr">
        <is>
          <t>48x [V 17.04.]</t>
        </is>
      </c>
      <c r="F9" s="12" t="inlineStr">
        <is>
          <t>26.48% TTM [V 17.04.]</t>
        </is>
      </c>
      <c r="G9" s="12" t="inlineStr">
        <is>
          <t>52.8% [V 17.04.]</t>
        </is>
      </c>
      <c r="H9" s="12" t="inlineStr">
        <is>
          <t>~16% [~]</t>
        </is>
      </c>
      <c r="I9" s="11" t="inlineStr">
        <is>
          <t>9 / Wide</t>
        </is>
      </c>
      <c r="J9" s="11" t="inlineStr">
        <is>
          <t>n.a.</t>
        </is>
      </c>
      <c r="K9" s="11" t="inlineStr">
        <is>
          <t>Nein</t>
        </is>
      </c>
      <c r="L9" s="11" t="inlineStr">
        <is>
          <t>68 / DEFCON 3</t>
        </is>
      </c>
      <c r="M9" s="11" t="inlineStr">
        <is>
          <t>+2 v3.5-&gt;v3.7</t>
        </is>
      </c>
      <c r="N9" s="13" t="inlineStr">
        <is>
          <t>● DEFCON 3 / ✅ Volle Tier-Rate 32€ (Tier 2; D3=1.0)</t>
        </is>
      </c>
      <c r="O9" s="3" t="n">
        <v>32</v>
      </c>
      <c r="P9" s="11" t="inlineStr">
        <is>
          <t>Q1 2026 Earnings 15.04.</t>
        </is>
      </c>
      <c r="Q9" s="14" t="n">
        <v>46129</v>
      </c>
      <c r="R9" s="8">
        <f>IF(Q9="","",TODAY()-Q9)</f>
        <v/>
      </c>
      <c r="S9" s="15" t="inlineStr">
        <is>
          <t>[V 17.04.] Score 68. OpM 36,1%, Fwd P/E 39,52 + P/FCF 48x -&gt; QT-Fix-1 beide hart 0. ROIC 26,48% TTM. WATCH: Fwd P/E FY27 30,30 Grenzfall — bei &lt;30 Score +1-2 (D4-Upside).</t>
        </is>
      </c>
    </row>
    <row r="10" ht="196.5" customHeight="1" s="34">
      <c r="B10" s="16" t="inlineStr">
        <is>
          <t>AVGO</t>
        </is>
      </c>
      <c r="C10" s="17" t="inlineStr">
        <is>
          <t>Broadcom Inc.</t>
        </is>
      </c>
      <c r="D10" s="18" t="inlineStr">
        <is>
          <t>Halbleiter/SW</t>
        </is>
      </c>
      <c r="E10" s="19" t="inlineStr">
        <is>
          <t>43,12 (von ~62 am 04.06. runter) [V 03.09.]</t>
        </is>
      </c>
      <c r="F10" s="19" t="inlineStr">
        <is>
          <t>6,72% GAAP-Q / 52,8% §410-bereinigt [03.09.]</t>
        </is>
      </c>
      <c r="G10" s="19" t="inlineStr">
        <is>
          <t>75,5% TTM · Q3 FY26 reported 75,0% (Mix-Dilution XPU-Memory)</t>
        </is>
      </c>
      <c r="H10" s="19" t="inlineStr">
        <is>
          <t>~34%   FY2022 $33,2B → TTM $89,1B (AI-Ramp)</t>
        </is>
      </c>
      <c r="I10" s="18" t="inlineStr">
        <is>
          <t>8/10 Wide (carryover 30.04.) · Q3-Call 02.09.: SerDes-IP, Advanced Packaging, Time-to-Market ohne Respins</t>
        </is>
      </c>
      <c r="J10" s="18" t="inlineStr">
        <is>
          <t>n.a.</t>
        </is>
      </c>
      <c r="K10" s="18" t="inlineStr">
        <is>
          <t>Nein</t>
        </is>
      </c>
      <c r="L10" s="18" t="inlineStr">
        <is>
          <t>59 / DEFCON 2</t>
        </is>
      </c>
      <c r="M10" s="18" t="inlineStr">
        <is>
          <t>Δ+3 03.09. (kursgetrieben)</t>
        </is>
      </c>
      <c r="N10" s="20" t="inlineStr">
        <is>
          <t>● FLAG: Insider-Selling 90d $33,69M (weiterhin &gt; $20M-Schwelle) | $29,19M davon allein Brazeal/CLO in 3 Tranchen (25.06./08.07./10.07.) ohne 10b5-1 | Plan-Verkaeufe $250M/90d ausgeschlossen | Aktiviert 27.04.2026 | Q3-Vollanalyse 03.09. Score 56→59 | FLAG aktiv unveraendert | Sparrate 0€</t>
        </is>
      </c>
      <c r="O10" s="3" t="n">
        <v>0</v>
      </c>
      <c r="P10" s="18" t="inlineStr">
        <is>
          <t>Q4 FY26 Earnings 09.12.2026 (amc)</t>
        </is>
      </c>
      <c r="Q10" s="21" t="n">
        <v>46268</v>
      </c>
      <c r="R10" s="8">
        <f>IF(Q10="","",TODAY()-Q10)</f>
        <v/>
      </c>
      <c r="S10" s="22" t="inlineStr">
        <is>
          <t>[AVGO 04.06.] Q2 FY26 Tag-+1 Vollanalyse: Score 53→56 (Δ+3), D2 unverändert, FLAG aktiv unverändert (Sparrate 0€, keine Kaskade). Q2 Beat-and-Raise (Rev $22,2B +48%, AI-Semi $10,8B +143%, Non-GAAP-EPS $2,44
  Beat, Op-Margin 67% ATH, FCF $10,3B 46%, Q3-Guide $29,4B +84% ≫Konsens), aber FY27-AI &gt;$100B nicht angehoben → sell-the-news −12,6% ($480→$418,91). Score-Treiber: Technicals ath_distanz 1→3 (Selloff =
  besserer Entry), Sentiment pt_upside 1→2 (PT-Raises JPM $580/Jefferies $550/Mizuho $530). Fundamentals 23 unverändert (Quality-Trap gecappt: Wide × Fwd P/E 22,7 NTM max 1 [Drawdown-Modulator inaktiv], Wide ×
  P/FCF &gt;35 hart 0; ROIC §410-Goodwill-bereinigt 51,1% vs WACC 15,96%, GW 57,2%). FLAG-Resolve-Gate verfehlt: Diskr. 90d $106,4M ≫$20M — Samueli $281M (25.03.) korrekt als 10b5-1 ausgeschlossen, $106M =
  operative C-Suite (CFO Spears/CLO Brazeal/Presidents Velaga+Kawwas) non-plan. Insider-Block 3/10 (ownership 3). Re-Eval Q3 FY26 ~02.09.</t>
        </is>
      </c>
    </row>
    <row r="11" ht="141.95" customHeight="1" s="34">
      <c r="B11" s="16" t="inlineStr">
        <is>
          <t>BRK.B</t>
        </is>
      </c>
      <c r="C11" s="17" t="inlineStr">
        <is>
          <t>Berkshire Hathaway B</t>
        </is>
      </c>
      <c r="D11" s="18" t="inlineStr">
        <is>
          <t>Holding/Vers.</t>
        </is>
      </c>
      <c r="E11" s="19" t="inlineStr">
        <is>
          <t>Exception (P/B 1.44x)</t>
        </is>
      </c>
      <c r="F11" s="19" t="inlineStr">
        <is>
          <t>5.6-7.8% GAAP [Float]</t>
        </is>
      </c>
      <c r="G11" s="19" t="inlineStr">
        <is>
          <t>n.a. (Holding)</t>
        </is>
      </c>
      <c r="H11" s="19" t="inlineStr">
        <is>
          <t>~8% [~]</t>
        </is>
      </c>
      <c r="I11" s="18" t="inlineStr">
        <is>
          <t>Wide [V]</t>
        </is>
      </c>
      <c r="J11" s="18" t="inlineStr">
        <is>
          <t>~1,5-1,6x P/B</t>
        </is>
      </c>
      <c r="K11" s="18" t="inlineStr">
        <is>
          <t>Ja</t>
        </is>
      </c>
      <c r="L11" s="18" t="inlineStr">
        <is>
          <t>71 / DEFCON 3</t>
        </is>
      </c>
      <c r="M11" s="18" t="inlineStr">
        <is>
          <t>Δ-4 04.05. (Q1 FY26 Tag-+1 Codex-R1-Korrektur)</t>
        </is>
      </c>
      <c r="N11" s="25" t="inlineStr">
        <is>
          <t>● Halten | Q1 FY26 Tag-+1 04.05. Score 75→71 D3 unverändert | Insurance Exception (P/B 1.44x)</t>
        </is>
      </c>
      <c r="O11" s="3" t="n">
        <v>18</v>
      </c>
      <c r="P11" s="18" t="inlineStr">
        <is>
          <t>30.06.2026</t>
        </is>
      </c>
      <c r="Q11" s="21" t="n">
        <v>46146</v>
      </c>
      <c r="R11" s="8">
        <f>IF(Q11="","",TODAY()-Q11)</f>
        <v/>
      </c>
      <c r="S11" s="22" t="inlineStr">
        <is>
          <t>[V 04.05.] Q1 FY26 Tag-+1 Vollanalyse Score 75→71 (Codex-R1-Korrektur Δ-4): F=35/M=19/T=1/I=10/S=6. Insurance Exception P/B 1,44x. Float 86B Q1, BNSF/BHE/MSR Operating-Power. Insider Form-4 04.05.: Abel Net Buy 6M $15,3M Open-Market. Cash-ATH effektiv $380,2B (Forbes T-Bill-Settlement bereinigt). 6 Q2-Methodology-Watches PIPELINE #36-#41. Volle Rate 38€.</t>
        </is>
      </c>
    </row>
    <row r="12" ht="141.95" customHeight="1" s="34">
      <c r="B12" s="9" t="inlineStr">
        <is>
          <t>KYCCF</t>
        </is>
      </c>
      <c r="C12" s="10" t="inlineStr">
        <is>
          <t>Keyence Corp. (JPY)</t>
        </is>
      </c>
      <c r="D12" s="11" t="inlineStr">
        <is>
          <t>Fabrik-Automation/Sensorik</t>
        </is>
      </c>
      <c r="E12" s="12" t="inlineStr">
        <is>
          <t>~38 Fwd P/E / 47x P/FCF [V 13.06.]</t>
        </is>
      </c>
      <c r="F12" s="12" t="inlineStr">
        <is>
          <t>19.9% GF / op-ROIC &gt;100% [V 13.06.]</t>
        </is>
      </c>
      <c r="G12" s="12" t="inlineStr">
        <is>
          <t>83.0% [V 13.06.]</t>
        </is>
      </c>
      <c r="H12" s="12" t="inlineStr">
        <is>
          <t>6.6% [V 13.06.]</t>
        </is>
      </c>
      <c r="I12" s="11" t="inlineStr">
        <is>
          <t>Wide [V 13.06.]</t>
        </is>
      </c>
      <c r="J12" s="11" t="n"/>
      <c r="K12" s="11" t="n"/>
      <c r="L12" s="11" t="inlineStr">
        <is>
          <t>67 / DEFCON 3</t>
        </is>
      </c>
      <c r="M12" s="11" t="inlineStr">
        <is>
          <t>O3 Initial 13.06.</t>
        </is>
      </c>
      <c r="N12" s="24" t="inlineStr">
        <is>
          <t>● DEFCON 3 / ✅ Volle Tier-Rate 32€ (Tier 2; D3=1.0) | O3-Vollanalyse 13.06. (JGAAP)</t>
        </is>
      </c>
      <c r="O12" s="3" t="n">
        <v>32</v>
      </c>
      <c r="P12" s="11" t="inlineStr">
        <is>
          <t>Q1 FY27 ~29.07.</t>
        </is>
      </c>
      <c r="Q12" s="14" t="n">
        <v>46186</v>
      </c>
      <c r="R12" s="8">
        <f>IF(Q12="","",TODAY()-Q12)</f>
        <v/>
      </c>
      <c r="S12" s="15" t="inlineStr">
        <is>
          <t>[V 13.06.] O3-Vollanalyse Score 67/D3 (Primärquelle JGAAP FY26 ended 31.03.2026, 6861.T). Fwd-P/E+P/FCF QT-hart-0 (Wide-Moat); Bilanz 9/9 Netto-Cash EQ-Ratio 94,6%; CapEx/OCF 6,6%; ROIC 7/8 (GF 19,9% vs WACC 5,54%, Cash-verwaessert op&gt;100%); OpM 51%. Moat 18/20 Wide. Kein FLAG. Near-Twin ASML 68.</t>
        </is>
      </c>
    </row>
    <row r="13" ht="141.95" customHeight="1" s="34">
      <c r="B13" s="9" t="inlineStr">
        <is>
          <t>MSFT</t>
        </is>
      </c>
      <c r="C13" s="10" t="inlineStr">
        <is>
          <t>Microsoft Corp.</t>
        </is>
      </c>
      <c r="D13" s="11" t="inlineStr">
        <is>
          <t>Software/Cloud</t>
        </is>
      </c>
      <c r="E13" s="12" t="inlineStr">
        <is>
          <t>~38x [~]</t>
        </is>
      </c>
      <c r="F13" s="12" t="inlineStr">
        <is>
          <t>7.5% [V]</t>
        </is>
      </c>
      <c r="G13" s="12" t="inlineStr">
        <is>
          <t>~69% [~]</t>
        </is>
      </c>
      <c r="H13" s="12" t="inlineStr">
        <is>
          <t>~13% [~]</t>
        </is>
      </c>
      <c r="I13" s="11" t="inlineStr">
        <is>
          <t>9 / Wide</t>
        </is>
      </c>
      <c r="J13" s="11" t="inlineStr">
        <is>
          <t>n.a.</t>
        </is>
      </c>
      <c r="K13" s="11" t="inlineStr">
        <is>
          <t>Nein</t>
        </is>
      </c>
      <c r="L13" s="11" t="inlineStr">
        <is>
          <t>50 / DEFCON 2</t>
        </is>
      </c>
      <c r="M13" s="11" t="inlineStr">
        <is>
          <t>-9 vs 17.04. (Q3 FY26 Tag-+1 V-Q2-Mittelweg)</t>
        </is>
      </c>
      <c r="N13" s="23" t="inlineStr">
        <is>
          <t>● FLAG: CapEx/OCF aktiv (Bull B FAIL CY26 $190B) | DEFCON 2 (50) | ⏸ Einfrieren</t>
        </is>
      </c>
      <c r="O13" s="4" t="n">
        <v>0</v>
      </c>
      <c r="P13" s="11" t="inlineStr">
        <is>
          <t>Q4 FY26 ~Juli — CapEx-Plateau-Recheck + WACC-Methodology-Verify</t>
        </is>
      </c>
      <c r="Q13" s="14" t="n">
        <v>46142</v>
      </c>
      <c r="R13" s="8">
        <f>IF(Q13="","",TODAY()-Q13)</f>
        <v/>
      </c>
      <c r="S13" s="15" t="inlineStr">
        <is>
          <t>[V] Q3 FY26 Tag-+1 30.04.: Score 59→50, D2/FLAG aktiv unverändert. Triggers A ✅ (CapEx/OCF bereinigt 9M=57,7%) / B ❌ FAIL (CY26 $190B vs Konsens $154,6B Surprise +23%) / C ✅✅ (Azure +39% cc). Quality-Trap aktiv (Wide × Fwd P/E 22,4 max 1; Wide × P/FCF 39,7 hart 0). ROIC 7,68% &lt; WACC 13,64% defeatbeta (Methodology-Watch FRED-Baseline-Verify Q4). Codex-R1+R2-Doppel-Review (V-Q2-Mittelweg via Insider-Skip-Carryover). 4 PIPELINE-Items aktiv (#25-28). Sparrate 0€ unverändert.</t>
        </is>
      </c>
    </row>
    <row r="14" ht="141.95" customHeight="1" s="34">
      <c r="B14" s="9" t="inlineStr">
        <is>
          <t>NOW</t>
        </is>
      </c>
      <c r="C14" s="10" t="inlineStr">
        <is>
          <t>ServiceNow Inc.</t>
        </is>
      </c>
      <c r="D14" s="11" t="inlineStr">
        <is>
          <t>Software/Cloud (Workflow)</t>
        </is>
      </c>
      <c r="E14" s="12" t="inlineStr">
        <is>
          <t>[Analyse ausstehend]</t>
        </is>
      </c>
      <c r="F14" s="12" t="n"/>
      <c r="G14" s="12" t="n"/>
      <c r="H14" s="12" t="n"/>
      <c r="I14" s="11" t="n"/>
      <c r="J14" s="11" t="n"/>
      <c r="K14" s="11" t="n"/>
      <c r="L14" s="11" t="inlineStr">
        <is>
          <t>[ausstehend]</t>
        </is>
      </c>
      <c r="M14" s="11" t="n"/>
      <c r="N14" s="24" t="inlineStr">
        <is>
          <t>● NEU 06.06.2026 | Tier 1 (SOLL 40€) | Stammdaten erfasst, Vollanalyse ausstehend</t>
        </is>
      </c>
      <c r="O14" s="3" t="n">
        <v>40</v>
      </c>
      <c r="P14" s="11" t="n"/>
      <c r="Q14" s="14" t="n"/>
      <c r="R14" s="8">
        <f>IF(Q14="","",TODAY()-Q14)</f>
        <v/>
      </c>
      <c r="S14" s="15" t="n"/>
    </row>
    <row r="15" ht="141.95" customHeight="1" s="34">
      <c r="B15" s="9" t="inlineStr">
        <is>
          <t>RMS</t>
        </is>
      </c>
      <c r="C15" s="10" t="inlineStr">
        <is>
          <t>Hermès Intl. (EUR)</t>
        </is>
      </c>
      <c r="D15" s="11" t="inlineStr">
        <is>
          <t>Luxus</t>
        </is>
      </c>
      <c r="E15" s="12" t="inlineStr">
        <is>
          <t>38x [V]</t>
        </is>
      </c>
      <c r="F15" s="12" t="inlineStr">
        <is>
          <t>24.2% TTM [V]</t>
        </is>
      </c>
      <c r="G15" s="12" t="inlineStr">
        <is>
          <t>71% [V]</t>
        </is>
      </c>
      <c r="H15" s="12" t="inlineStr">
        <is>
          <t>~13% [~]</t>
        </is>
      </c>
      <c r="I15" s="11" t="inlineStr">
        <is>
          <t>Wide [V]</t>
        </is>
      </c>
      <c r="J15" s="11" t="inlineStr">
        <is>
          <t>n.a.</t>
        </is>
      </c>
      <c r="K15" s="11" t="inlineStr">
        <is>
          <t>Nein</t>
        </is>
      </c>
      <c r="L15" s="11" t="inlineStr">
        <is>
          <t>68 / DEFCON 3</t>
        </is>
      </c>
      <c r="M15" s="11" t="inlineStr">
        <is>
          <t>-1 v3.5-&gt;v3.7</t>
        </is>
      </c>
      <c r="N15" s="24" t="inlineStr">
        <is>
          <t>● Halten | D4→D3 Schema-Alignment 18.04. | Screener-Exception ROIC 24% &gt;&gt; WACC</t>
        </is>
      </c>
      <c r="O15" s="3" t="n">
        <v>18</v>
      </c>
      <c r="P15" s="11" t="inlineStr">
        <is>
          <t>H1 2026 Report Juli/Aug 2026</t>
        </is>
      </c>
      <c r="Q15" s="14" t="n">
        <v>46129</v>
      </c>
      <c r="R15" s="8">
        <f>IF(Q15="","",TODAY()-Q15)</f>
        <v/>
      </c>
      <c r="S15" s="15" t="inlineStr">
        <is>
          <t>[V] Re-Analyse 15.04.: 71-&gt;68 (Q1 Miss -8,4% Mittlerer Osten). ROIC 24% &gt;&gt; WACC 6,5% = Screener-Exception #3. Netto-Cash +9,89B EUR. D4-&gt;D3 Label-Fix 18.04. Volle Rate 38,00€.</t>
        </is>
      </c>
    </row>
    <row r="16" ht="24.95" customHeight="1" s="34">
      <c r="B16" s="9" t="inlineStr">
        <is>
          <t>SU</t>
        </is>
      </c>
      <c r="C16" s="10" t="inlineStr">
        <is>
          <t>Schneider Electric (EUR)</t>
        </is>
      </c>
      <c r="D16" s="11" t="inlineStr">
        <is>
          <t>Industrials</t>
        </is>
      </c>
      <c r="E16" s="12" t="inlineStr">
        <is>
          <t>~38x [~]</t>
        </is>
      </c>
      <c r="F16" s="12" t="inlineStr">
        <is>
          <t>10.48% TTM</t>
        </is>
      </c>
      <c r="G16" s="12" t="inlineStr">
        <is>
          <t>~42% [~]</t>
        </is>
      </c>
      <c r="H16" s="12" t="inlineStr">
        <is>
          <t>~11% [~]</t>
        </is>
      </c>
      <c r="I16" s="11" t="inlineStr">
        <is>
          <t>Narrow/Wide</t>
        </is>
      </c>
      <c r="J16" s="11" t="inlineStr">
        <is>
          <t>n.a.</t>
        </is>
      </c>
      <c r="K16" s="11" t="inlineStr">
        <is>
          <t>Nein</t>
        </is>
      </c>
      <c r="L16" s="11" t="inlineStr">
        <is>
          <t>69 / DEFCON 3</t>
        </is>
      </c>
      <c r="M16" s="11" t="inlineStr">
        <is>
          <t>-2 v3.5-&gt;v3.7</t>
        </is>
      </c>
      <c r="N16" s="25" t="inlineStr">
        <is>
          <t>● Halten | D4→D3 Schema-Alignment 18.04. | v3.7 Fix-3 Sell-Ratio</t>
        </is>
      </c>
      <c r="O16" s="3" t="n">
        <v>18</v>
      </c>
      <c r="P16" s="11" t="inlineStr">
        <is>
          <t>07.05.2026</t>
        </is>
      </c>
      <c r="Q16" s="14" t="n">
        <v>46129</v>
      </c>
      <c r="R16" s="8">
        <f>IF(Q16="","",TODAY()-Q16)</f>
        <v/>
      </c>
      <c r="S16" s="15" t="inlineStr">
        <is>
          <t>[~] EUR-denominiert. ROIC 10,48% &gt; WACC 8,96%. Non-US IFRS. FCF-Wachstum +41% 3J. Schwächen: P/FCF 37,7x, Goodwill 40,2% (AVEVA). D4-&gt;D3 Label-Fix 18.04. Volle Rate 38,00€.</t>
        </is>
      </c>
    </row>
    <row r="17" ht="24.95" customHeight="1" s="34">
      <c r="B17" s="16" t="inlineStr">
        <is>
          <t>TMO</t>
        </is>
      </c>
      <c r="C17" s="17" t="inlineStr">
        <is>
          <t>Thermo Fisher Sci.</t>
        </is>
      </c>
      <c r="D17" s="18" t="inlineStr">
        <is>
          <t>Life Sciences</t>
        </is>
      </c>
      <c r="E17" s="19" t="inlineStr">
        <is>
          <t>31.10x [V 18.04.]</t>
        </is>
      </c>
      <c r="F17" s="19" t="inlineStr">
        <is>
          <t>17.18% bereinigt (Regel-4)</t>
        </is>
      </c>
      <c r="G17" s="19" t="inlineStr">
        <is>
          <t>40.9% [V 18.04.]</t>
        </is>
      </c>
      <c r="H17" s="19" t="inlineStr">
        <is>
          <t>~4% [~]</t>
        </is>
      </c>
      <c r="I17" s="18" t="inlineStr">
        <is>
          <t>Wide [V]</t>
        </is>
      </c>
      <c r="J17" s="18" t="inlineStr">
        <is>
          <t>n.a.</t>
        </is>
      </c>
      <c r="K17" s="18" t="inlineStr">
        <is>
          <t>Nein</t>
        </is>
      </c>
      <c r="L17" s="18" t="inlineStr">
        <is>
          <t>67 / DEFCON 3</t>
        </is>
      </c>
      <c r="M17" s="18" t="inlineStr">
        <is>
          <t>+3 Q1 FY26 Beat+Raise</t>
        </is>
      </c>
      <c r="N17" s="13" t="inlineStr">
        <is>
          <t>● DEFCON 3 / ✅ Volle Tier-Rate 18€ (Tier 3) | fcf_trend_neg Resolve (Q1 WC-Unwind) | Q2 22.07. (bmo)</t>
        </is>
      </c>
      <c r="O17" s="4" t="n">
        <v>18</v>
      </c>
      <c r="P17" s="18" t="inlineStr">
        <is>
          <t>23.04.2026 Q1 Earnings</t>
        </is>
      </c>
      <c r="Q17" s="21" t="n">
        <v>46135</v>
      </c>
      <c r="R17" s="8">
        <f>IF(Q17="","",TODAY()-Q17)</f>
        <v/>
      </c>
      <c r="S17" s="22" t="inlineStr">
        <is>
          <t>[V 23.04.] Q1 FY26 Beat + Guidance-Raise: Adj EPS $5,44 vs $5,24 (+3,8% Beat), Rev $11,01B +6,2% reported / +1% organic, GAAP EPS $4,43 (+11,3%). Guidance-Raise: Rev $47,3-48,1B, Adj EPS $24,64-25,12, Organic 3-4%, FCF $6,9-7,4B. Clario $8,87B closed. FCF $825M (+121% YoY), OCF $1,192M (+65%), ΔWC -1,112M vs -1,425M (+$313M besser) = WC-Unwind-These bestätigt → fcf_trend_neg Resolve-Gate CLEAR. Score 64→67, D2→D3, Sparrate 17,81€→33,53€→38,00€ (Schema-Alignment 18.04. → v3.7 Vollrate). Watches: Organic-Akzeleration H2, Clario-Integration-Execution, Net-Debt/EBITDA Post-Deal. Q2 ~Ende Juli Re-Check.</t>
        </is>
      </c>
    </row>
    <row r="18" ht="24.95" customHeight="1" s="34">
      <c r="B18" s="9" t="inlineStr">
        <is>
          <t>V</t>
        </is>
      </c>
      <c r="C18" s="10" t="inlineStr">
        <is>
          <t>Visa Inc.</t>
        </is>
      </c>
      <c r="D18" s="11" t="inlineStr">
        <is>
          <t>Payments</t>
        </is>
      </c>
      <c r="E18" s="12" t="inlineStr">
        <is>
          <t>28.32x [V 18.04.]</t>
        </is>
      </c>
      <c r="F18" s="12" t="inlineStr">
        <is>
          <t>9.89% GAAP &lt; WACC 10.48%</t>
        </is>
      </c>
      <c r="G18" s="12" t="inlineStr">
        <is>
          <t>80.4% [V 18.04.]</t>
        </is>
      </c>
      <c r="H18" s="12" t="inlineStr">
        <is>
          <t>~12% [~]</t>
        </is>
      </c>
      <c r="I18" s="11" t="inlineStr">
        <is>
          <t>9 / Wide</t>
        </is>
      </c>
      <c r="J18" s="11" t="inlineStr">
        <is>
          <t>n.a.</t>
        </is>
      </c>
      <c r="K18" s="11" t="inlineStr">
        <is>
          <t>Nein</t>
        </is>
      </c>
      <c r="L18" s="11" t="inlineStr">
        <is>
          <t>64 / DEFCON 2</t>
        </is>
      </c>
      <c r="M18" s="11" t="inlineStr">
        <is>
          <t>+1 Codex-Revert vs 28.04. mittags</t>
        </is>
      </c>
      <c r="N18" s="26" t="inlineStr">
        <is>
          <t>● DEFCON 2 / ⏸ Sockelbetrag 16€ (50% von Tier 2 = 32€; DEFCON überschreibt SOLL) | Q2 Beat→Codex-Revert 28.04. | Q3 28.07. ROIC-Verify (PIPELINE #21)</t>
        </is>
      </c>
      <c r="O18" s="3" t="n">
        <v>16</v>
      </c>
      <c r="P18" s="11" t="inlineStr">
        <is>
          <t>22.07.2026</t>
        </is>
      </c>
      <c r="Q18" s="14" t="n">
        <v>46130</v>
      </c>
      <c r="R18" s="8">
        <f>IF(Q18="","",TODAY()-Q18)</f>
        <v/>
      </c>
      <c r="S18" s="15" t="inlineStr">
        <is>
          <t>[V 18.04.] Forward-Vollanalyse + Rescoring nach Advisor: 86-&gt;72-&gt;63. DREI Sub-Score-Korrekturen: (1) Moat Pricing-Power-Bonus entfernt (Transcript-Regel); (2) Insider Ownership 2-&gt;1 (V &lt;1% strikt); (3) ROIC 8-&gt;1 (Regel-4-Gating GW/Assets 19,95% &lt;30% greift NICHT, GAAP 9,89% &lt; WACC 10,48%). Technicals-Kollaps (RelStärke -13,97pp vs SPY, Kurs -4,97% unter fallendem 200MA). Q2 FY26 28.04. D2-Entscheidung.</t>
        </is>
      </c>
    </row>
    <row r="19" ht="24.95" customHeight="1" s="34">
      <c r="B19" s="9" t="inlineStr">
        <is>
          <t>ZETA</t>
        </is>
      </c>
      <c r="C19" s="10" t="inlineStr">
        <is>
          <t>Zeta Global Holdings</t>
        </is>
      </c>
      <c r="D19" s="11" t="inlineStr">
        <is>
          <t>Marketing-Tech/AI</t>
        </is>
      </c>
      <c r="E19" s="12" t="inlineStr">
        <is>
          <t>[Analyse ausstehend]</t>
        </is>
      </c>
      <c r="F19" s="12" t="n"/>
      <c r="G19" s="12" t="n"/>
      <c r="H19" s="12" t="n"/>
      <c r="I19" s="11" t="n"/>
      <c r="J19" s="11" t="n"/>
      <c r="K19" s="11" t="n"/>
      <c r="L19" s="11" t="inlineStr">
        <is>
          <t>[ausstehend]</t>
        </is>
      </c>
      <c r="M19" s="11" t="n"/>
      <c r="N19" s="24" t="inlineStr">
        <is>
          <t>● NEU 06.06.2026 | Tier 3 (SOLL 18€) | Stammdaten erfasst, Vollanalyse ausstehend</t>
        </is>
      </c>
      <c r="O19" s="3" t="n">
        <v>18</v>
      </c>
      <c r="P19" s="11" t="n"/>
      <c r="Q19" s="14" t="n"/>
      <c r="R19" s="8">
        <f>IF(Q19="","",TODAY()-Q19)</f>
        <v/>
      </c>
      <c r="S19" s="15" t="n"/>
    </row>
    <row r="20" ht="60" customHeight="1" s="34">
      <c r="B20" s="40" t="inlineStr">
        <is>
          <t>Sparrate-Check</t>
        </is>
      </c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8" t="n"/>
      <c r="M20" s="5" t="inlineStr">
        <is>
          <t>Gesamt:</t>
        </is>
      </c>
      <c r="N20" s="6" t="inlineStr">
        <is>
          <t>→ Funded 210,00 € (SOLL 364,00 € – 154,00 € nicht gefunded: 138,00 € FLAG-eingefroren AMZN/APH/AVGO/MSFT + 16,00 € V-Sockelbetrag D2)</t>
        </is>
      </c>
      <c r="O20" s="7">
        <f>SUM(O7:O19)</f>
        <v/>
      </c>
    </row>
    <row r="21" ht="15.75" customHeight="1" s="34"/>
    <row r="22" ht="13.5" customHeight="1" s="34">
      <c r="B22" s="41" t="inlineStr">
        <is>
          <t>LEGENDE &amp; DATENQUALITÄT</t>
        </is>
      </c>
    </row>
    <row r="23" ht="13.5" customHeight="1" s="34">
      <c r="B23" s="36" t="inlineStr">
        <is>
          <t>✅ Fetched Live – GuruFocus term-pages 02.04.2026: Moat-Scores ASML(9) V(9) MSFT(9)</t>
        </is>
      </c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8" t="n"/>
    </row>
    <row r="24" ht="13.5" customHeight="1" s="34">
      <c r="B24" s="36" t="inlineStr">
        <is>
          <t>[KB] – Kalibrierungsanalyse: AVGO 86/100 (25.03.), TMO 65→67 (07.04.), ASML 68 (06.04.), MSFT 77→60 (08.04.), APH 61 (09.04.), RMS 71→69 (15.04. Re-Analyse)</t>
        </is>
      </c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8" t="n"/>
    </row>
    <row r="25" ht="13.5" customHeight="1" s="34">
      <c r="B25" s="36" t="inlineStr">
        <is>
          <t>[~] – Schätzung Wissensbasis (plausibel) | [V] – Vollanalyse verifiziert | [TC] – Tariff-Check abgeschlossen 15.04.2026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8" t="n"/>
    </row>
    <row r="26" ht="15" customHeight="1" s="34">
      <c r="B26" s="39" t="inlineStr">
        <is>
          <t>● EINGEFROREN: MSFT (FLAG CapEx/OCF &gt;60%, D2, Score 50) | APH (FLAG Score-basiert, D2, Score 61) | AVGO (FLAG Insider-Selling 90d $106M+, D2 Score 56, ab 27.04.) | AMZN (FLAG CapEx/OCF 99,2% TTM, D1 Score 42, Neuaufnahme 12. Satellit ab 15.05.) → Sparrate 0€</t>
        </is>
      </c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8" t="n"/>
    </row>
    <row r="27">
      <c r="B27" s="39" t="inlineStr">
        <is>
          <t>TIER-SYSTEM (SOLL → Real, DEFCON/FLAG überschreibt) | ● Tier 1 (SOLL 40€): NOW 40€ | AMZN/AVGO/MSFT 0€ (FLAG) | ● Tier 2 (SOLL 32€): ASML/KYCCF je 32€ | V 16€ (D2-Sockelbetrag) | ● Tier 3 (SOLL 18€): BRK.B/RMS/SU/TMO/ZETA je 18€ | APH 0€ (FLAG) | Funded Σ = 40+80+90 = 210€ | SOLL Σ = 160+96+108 = 364€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8" t="n"/>
    </row>
  </sheetData>
  <mergeCells count="14">
    <mergeCell ref="B3:D3"/>
    <mergeCell ref="O2:S2"/>
    <mergeCell ref="B25:S25"/>
    <mergeCell ref="B27:S27"/>
    <mergeCell ref="B24:S24"/>
    <mergeCell ref="B20:L20"/>
    <mergeCell ref="B22:S22"/>
    <mergeCell ref="E3:G3"/>
    <mergeCell ref="K3:M3"/>
    <mergeCell ref="B23:S23"/>
    <mergeCell ref="N3:S3"/>
    <mergeCell ref="H3:J3"/>
    <mergeCell ref="B2:N2"/>
    <mergeCell ref="B26:S26"/>
  </mergeCells>
  <conditionalFormatting sqref="L7:L19">
    <cfRule type="expression" priority="9" dxfId="27" stopIfTrue="1">
      <formula>ISNUMBER(SEARCH("DEFCON 4",L7))</formula>
    </cfRule>
    <cfRule type="expression" priority="10" dxfId="29" stopIfTrue="1">
      <formula>ISNUMBER(SEARCH("DEFCON 3",L7))</formula>
    </cfRule>
    <cfRule type="expression" priority="11" dxfId="31" stopIfTrue="1">
      <formula>ISNUMBER(SEARCH("DEFCON 2",L7))</formula>
    </cfRule>
    <cfRule type="expression" priority="12" dxfId="32" stopIfTrue="1">
      <formula>ISNUMBER(SEARCH("DEFCON 1",L7))</formula>
    </cfRule>
  </conditionalFormatting>
  <conditionalFormatting sqref="M7:M19">
    <cfRule type="cellIs" priority="3" operator="lessThan" dxfId="20">
      <formula>0</formula>
    </cfRule>
    <cfRule type="cellIs" priority="4" operator="greaterThan" dxfId="35">
      <formula>0</formula>
    </cfRule>
    <cfRule type="cellIs" priority="5" operator="equal" dxfId="34">
      <formula>0</formula>
    </cfRule>
  </conditionalFormatting>
  <conditionalFormatting sqref="N7:N19">
    <cfRule type="expression" priority="13" dxfId="32" stopIfTrue="1">
      <formula>LEFT(N7,1)="🔴"</formula>
    </cfRule>
    <cfRule type="expression" priority="14" dxfId="32" stopIfTrue="1">
      <formula>ISNUMBER(SEARCH("FLAG",N7))</formula>
    </cfRule>
    <cfRule type="expression" priority="15" dxfId="31" stopIfTrue="1">
      <formula>LEFT(N7,1)="🟠"</formula>
    </cfRule>
    <cfRule type="expression" priority="16" dxfId="29" stopIfTrue="1">
      <formula>LEFT(N7,1)="🟡"</formula>
    </cfRule>
    <cfRule type="expression" priority="17" dxfId="29" stopIfTrue="1">
      <formula>ISNUMBER(SEARCH("DEFCON 3",N7))</formula>
    </cfRule>
    <cfRule type="expression" priority="18" dxfId="27" stopIfTrue="1">
      <formula>LEFT(N7,1)="🟢"</formula>
    </cfRule>
    <cfRule type="expression" priority="19" dxfId="27" stopIfTrue="1">
      <formula>ISNUMBER(SEARCH("Halten",N7))</formula>
    </cfRule>
    <cfRule type="expression" priority="248" dxfId="26">
      <formula>ISNUMBER(SEARCH("DEFCON 2",N7))</formula>
    </cfRule>
    <cfRule type="expression" priority="249" dxfId="25">
      <formula>OR(ISNUMBER(SEARCH("NEU",N7)),ISNUMBER(SEARCH("ausstehend",N7)))</formula>
    </cfRule>
  </conditionalFormatting>
  <conditionalFormatting sqref="O7:O19">
    <cfRule type="cellIs" priority="1" operator="equal" dxfId="24">
      <formula>0</formula>
    </cfRule>
    <cfRule type="cellIs" priority="2" operator="greaterThan" dxfId="22">
      <formula>0</formula>
    </cfRule>
  </conditionalFormatting>
  <conditionalFormatting sqref="R7:R19">
    <cfRule type="cellIs" priority="6" operator="lessThanOrEqual" dxfId="22">
      <formula>30</formula>
    </cfRule>
    <cfRule type="cellIs" priority="7" operator="between" dxfId="21">
      <formula>31</formula>
      <formula>90</formula>
    </cfRule>
    <cfRule type="cellIs" priority="8" operator="greaterThan" dxfId="20">
      <formula>90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C0000"/>
    <outlinePr summaryBelow="1" summaryRight="1"/>
    <pageSetUpPr/>
  </sheetPr>
  <dimension ref="B2:K24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baseColWidth="10" defaultColWidth="9.140625" defaultRowHeight="15"/>
  <cols>
    <col width="2" customWidth="1" style="34" min="1" max="1"/>
    <col width="7" customWidth="1" style="34" min="2" max="2"/>
    <col width="18" customWidth="1" style="34" min="3" max="3"/>
    <col width="13" customWidth="1" style="34" min="4" max="6"/>
    <col width="16" customWidth="1" style="34" min="7" max="9"/>
    <col outlineLevel="1" width="9.140625" customWidth="1" style="34" min="10" max="11"/>
  </cols>
  <sheetData>
    <row r="1" ht="6" customHeight="1" s="34"/>
    <row r="2" ht="40.5" customHeight="1" s="34">
      <c r="B2" s="47" t="inlineStr">
        <is>
          <t>🦅  DYNASTIEDEPOT – QUICKSCREEN AMPEL  |  Stand: 06.06.2026 (v4.0 – NOW/KYCCF/ZETA neu, VEEV/COST entfernt; 13 Titel)</t>
        </is>
      </c>
    </row>
    <row r="3" ht="30.75" customHeight="1" s="34">
      <c r="B3" s="49" t="inlineStr">
        <is>
          <t>Filter: P/FCF ≤35x ● / ≤45x ● / &gt;45x ●  |  ROIC ≥15% ● / ≥12% ● / &lt;12% ●  |  Moat Wide ● / Narrow ● / None ●  |  FLAG überschreibt immer → ●</t>
        </is>
      </c>
    </row>
    <row r="4" ht="11.25" customHeight="1" s="34">
      <c r="J4" s="32" t="inlineStr">
        <is>
          <t>Helfer-Spalten: extrahierte Kennzahlen für bedingte Formatierung (D/E)</t>
        </is>
      </c>
    </row>
    <row r="5" ht="30" customHeight="1" s="34">
      <c r="B5" s="2" t="inlineStr">
        <is>
          <t>Ticker</t>
        </is>
      </c>
      <c r="C5" s="2" t="inlineStr">
        <is>
          <t>Name</t>
        </is>
      </c>
      <c r="D5" s="2" t="inlineStr">
        <is>
          <t>P/FCF Filter</t>
        </is>
      </c>
      <c r="E5" s="2" t="inlineStr">
        <is>
          <t>ROIC Filter</t>
        </is>
      </c>
      <c r="F5" s="2" t="inlineStr">
        <is>
          <t>Moat Filter</t>
        </is>
      </c>
      <c r="G5" s="2" t="inlineStr">
        <is>
          <t>FLAG</t>
        </is>
      </c>
      <c r="H5" s="2" t="inlineStr">
        <is>
          <t>Gesamt-Ampel</t>
        </is>
      </c>
      <c r="I5" s="2" t="inlineStr">
        <is>
          <t>Nächster Schritt</t>
        </is>
      </c>
      <c r="J5" s="31" t="inlineStr">
        <is>
          <t>_PFCF_num</t>
        </is>
      </c>
      <c r="K5" s="31" t="inlineStr">
        <is>
          <t>_ROIC_num</t>
        </is>
      </c>
    </row>
    <row r="6" ht="129.95" customHeight="1" s="34">
      <c r="B6" s="9" t="inlineStr">
        <is>
          <t>AMZN</t>
        </is>
      </c>
      <c r="C6" s="11" t="inlineStr">
        <is>
          <t>Amazon.com</t>
        </is>
      </c>
      <c r="D6" s="29" t="inlineStr">
        <is>
          <t>● 2305x (QT hart 0)</t>
        </is>
      </c>
      <c r="E6" s="29" t="inlineStr">
        <is>
          <t>● 5,4% GAAP &lt;&lt; WACC 15,57%</t>
        </is>
      </c>
      <c r="F6" s="29" t="inlineStr">
        <is>
          <t>● Wide</t>
        </is>
      </c>
      <c r="G6" s="30" t="inlineStr">
        <is>
          <t>● FLAG (CapEx/OCF 99,2%)</t>
        </is>
      </c>
      <c r="H6" s="30" t="inlineStr">
        <is>
          <t>● FLAG / ⏸ EINGEFROREN</t>
        </is>
      </c>
      <c r="I6" s="27" t="inlineStr">
        <is>
          <t>Score 42 / D1 (V 15.05.). Neuaufnahme 12. Satellit 18.05. CapEx/OCF TTM 99,2%. Re-Eval Q2 FY26 ~Juli. Sparrate 0€.</t>
        </is>
      </c>
      <c r="J6">
        <f>IFERROR(IF(ISNUMBER(SEARCH("ausstehend",D6)),"",IF(ISNUMBER(SEARCH("Exception",D6)),-1,VALUE(SUBSTITUTE(_xlfn.TEXTBEFORE(_xlfn.TEXTAFTER(D6,"● "),"x"),"~","")))),-2)</f>
        <v/>
      </c>
      <c r="K6">
        <f>IFERROR(IF(ISNUMBER(SEARCH("ausstehend",E6)),"",IF(ISNUMBER(SEARCH("Exception",E6)),-1,VALUE(SUBSTITUTE(_xlfn.TEXTBEFORE(_xlfn.TEXTAFTER(E6,"● "),"%"),"~","")))),-2)</f>
        <v/>
      </c>
    </row>
    <row r="7" ht="129.95" customHeight="1" s="34">
      <c r="B7" s="9" t="inlineStr">
        <is>
          <t>APH</t>
        </is>
      </c>
      <c r="C7" s="11" t="inlineStr">
        <is>
          <t>Amphenol</t>
        </is>
      </c>
      <c r="D7" s="29" t="inlineStr">
        <is>
          <t>● ~28x</t>
        </is>
      </c>
      <c r="E7" s="29" t="inlineStr">
        <is>
          <t>● ~22%</t>
        </is>
      </c>
      <c r="F7" s="29" t="inlineStr">
        <is>
          <t>● Wide</t>
        </is>
      </c>
      <c r="G7" s="30" t="inlineStr">
        <is>
          <t>● FLAG (Score-basiert 61)</t>
        </is>
      </c>
      <c r="H7" s="30" t="inlineStr">
        <is>
          <t>● FLAG / ⏸ EINGEFROREN</t>
        </is>
      </c>
      <c r="I7" s="27" t="inlineStr">
        <is>
          <t>Score 61 / D2 (Schema-Alignment 18.04.). FLAG aktiv. Tariff-Check CN 14,7%. Q2 FY26 Earnings 29.07.2026. Sparrate 0€.</t>
        </is>
      </c>
      <c r="J7">
        <f>IFERROR(IF(ISNUMBER(SEARCH("ausstehend",D7)),"",IF(ISNUMBER(SEARCH("Exception",D7)),-1,VALUE(SUBSTITUTE(_xlfn.TEXTBEFORE(_xlfn.TEXTAFTER(D7,"● "),"x"),"~","")))),-2)</f>
        <v/>
      </c>
      <c r="K7">
        <f>IFERROR(IF(ISNUMBER(SEARCH("ausstehend",E7)),"",IF(ISNUMBER(SEARCH("Exception",E7)),-1,VALUE(SUBSTITUTE(_xlfn.TEXTBEFORE(_xlfn.TEXTAFTER(E7,"● "),"%"),"~","")))),-2)</f>
        <v/>
      </c>
    </row>
    <row r="8" ht="129.95" customHeight="1" s="34">
      <c r="B8" s="9" t="inlineStr">
        <is>
          <t>ASML</t>
        </is>
      </c>
      <c r="C8" s="11" t="inlineStr">
        <is>
          <t>ASML Holding</t>
        </is>
      </c>
      <c r="D8" s="29" t="inlineStr">
        <is>
          <t>● 48x [V 17.04.]</t>
        </is>
      </c>
      <c r="E8" s="29" t="inlineStr">
        <is>
          <t>● 26,48% TTM</t>
        </is>
      </c>
      <c r="F8" s="29" t="inlineStr">
        <is>
          <t>● Wide</t>
        </is>
      </c>
      <c r="G8" s="30" t="inlineStr">
        <is>
          <t>✅</t>
        </is>
      </c>
      <c r="H8" s="30" t="inlineStr">
        <is>
          <t>● DEFCON 3 / ✅ VOLLRATE</t>
        </is>
      </c>
      <c r="I8" s="27" t="inlineStr">
        <is>
          <t>Score 68 / D3. v3.7 Fix-1 Subscore-Deckel. Volle Tier-Rate 32€ (Tier 2).</t>
        </is>
      </c>
      <c r="J8">
        <f>IFERROR(IF(ISNUMBER(SEARCH("ausstehend",D8)),"",IF(ISNUMBER(SEARCH("Exception",D8)),-1,VALUE(SUBSTITUTE(_xlfn.TEXTBEFORE(_xlfn.TEXTAFTER(D8,"● "),"x"),"~","")))),-2)</f>
        <v/>
      </c>
      <c r="K8">
        <f>IFERROR(IF(ISNUMBER(SEARCH("ausstehend",E8)),"",IF(ISNUMBER(SEARCH("Exception",E8)),-1,VALUE(SUBSTITUTE(_xlfn.TEXTBEFORE(_xlfn.TEXTAFTER(E8,"● "),"%"),"~","")))),-2)</f>
        <v/>
      </c>
    </row>
    <row r="9" ht="129.95" customHeight="1" s="34">
      <c r="B9" s="16" t="inlineStr">
        <is>
          <t>AVGO</t>
        </is>
      </c>
      <c r="C9" s="18" t="inlineStr">
        <is>
          <t>Broadcom</t>
        </is>
      </c>
      <c r="D9" s="29" t="inlineStr">
        <is>
          <t>● 43,1x (V 03.09.; 04.06.: ~62)</t>
        </is>
      </c>
      <c r="E9" s="29" t="inlineStr">
        <is>
          <t>● 6,72% GAAP-Q (§410: 52,8%)</t>
        </is>
      </c>
      <c r="F9" s="29" t="inlineStr">
        <is>
          <t>● Wide</t>
        </is>
      </c>
      <c r="G9" s="30" t="inlineStr">
        <is>
          <t>● FLAG (Insider-Selling)</t>
        </is>
      </c>
      <c r="H9" s="30" t="inlineStr">
        <is>
          <t>● FLAG / ⏸ EINGEFROREN</t>
        </is>
      </c>
      <c r="I9" s="28" t="inlineStr">
        <is>
          <t>Score 59 / D2 (V 03.09., Δ+3 — kursgetrieben, nicht operativ). P/FCF 43,1 bleibt QT-hart-0; Fwd P/E 20,65 verlaesst den Korridor 22-30. Insider-Selling 90d $33,69M &gt; $20M. Sparrate 0€.</t>
        </is>
      </c>
      <c r="J9">
        <f>IFERROR(IF(ISNUMBER(SEARCH("ausstehend",D9)),"",IF(ISNUMBER(SEARCH("Exception",D9)),-1,VALUE(SUBSTITUTE(_xlfn.TEXTBEFORE(_xlfn.TEXTAFTER(D9,"● "),"x"),"~","")))),-2)</f>
        <v/>
      </c>
      <c r="K9">
        <f>IFERROR(IF(ISNUMBER(SEARCH("ausstehend",E9)),"",IF(ISNUMBER(SEARCH("Exception",E9)),-1,VALUE(SUBSTITUTE(_xlfn.TEXTBEFORE(_xlfn.TEXTAFTER(E9,"● "),"%"),"~","")))),-2)</f>
        <v/>
      </c>
    </row>
    <row r="10" ht="129.95" customHeight="1" s="34">
      <c r="B10" s="16" t="inlineStr">
        <is>
          <t>BRK.B</t>
        </is>
      </c>
      <c r="C10" s="18" t="inlineStr">
        <is>
          <t>Berkshire Hathaway B</t>
        </is>
      </c>
      <c r="D10" s="29" t="inlineStr">
        <is>
          <t>● Exception (P/B 1,44x)</t>
        </is>
      </c>
      <c r="E10" s="29" t="inlineStr">
        <is>
          <t>● Exception (Float-Power)</t>
        </is>
      </c>
      <c r="F10" s="29" t="inlineStr">
        <is>
          <t>● Wide</t>
        </is>
      </c>
      <c r="G10" s="30" t="inlineStr">
        <is>
          <t>✅</t>
        </is>
      </c>
      <c r="H10" s="30" t="inlineStr">
        <is>
          <t>● HALTEN</t>
        </is>
      </c>
      <c r="I10" s="28" t="inlineStr">
        <is>
          <t>Score 71 / D3 (Q1 FY26 Tag-+1 04.05., 75→71 Codex-R1). Insurance Exception. Volle Tier-Rate 18€ (Tier 3).</t>
        </is>
      </c>
      <c r="J10">
        <f>IFERROR(IF(ISNUMBER(SEARCH("ausstehend",D10)),"",IF(ISNUMBER(SEARCH("Exception",D10)),-1,VALUE(SUBSTITUTE(_xlfn.TEXTBEFORE(_xlfn.TEXTAFTER(D10,"● "),"x"),"~","")))),-2)</f>
        <v/>
      </c>
      <c r="K10">
        <f>IFERROR(IF(ISNUMBER(SEARCH("ausstehend",E10)),"",IF(ISNUMBER(SEARCH("Exception",E10)),-1,VALUE(SUBSTITUTE(_xlfn.TEXTBEFORE(_xlfn.TEXTAFTER(E10,"● "),"%"),"~","")))),-2)</f>
        <v/>
      </c>
    </row>
    <row r="11" ht="129.95" customHeight="1" s="34">
      <c r="B11" s="9" t="inlineStr">
        <is>
          <t>KYCCF</t>
        </is>
      </c>
      <c r="C11" s="11" t="inlineStr">
        <is>
          <t>Keyence</t>
        </is>
      </c>
      <c r="D11" s="29" t="inlineStr">
        <is>
          <t>[ausstehend]</t>
        </is>
      </c>
      <c r="E11" s="29" t="inlineStr">
        <is>
          <t>[ausstehend]</t>
        </is>
      </c>
      <c r="F11" s="29" t="inlineStr">
        <is>
          <t>[ausstehend]</t>
        </is>
      </c>
      <c r="G11" s="29" t="inlineStr">
        <is>
          <t>[ausstehend]</t>
        </is>
      </c>
      <c r="H11" s="29" t="inlineStr">
        <is>
          <t>○ NEU / Screen ausstehend (Tier 2)</t>
        </is>
      </c>
      <c r="I11" s="27" t="inlineStr">
        <is>
          <t>Neuaufnahme 06.06.2026. QuickScreen + Vollanalyse ausstehend. Tier 2 (SOLL 32€). JPY/Non-US.</t>
        </is>
      </c>
      <c r="J11">
        <f>IFERROR(IF(ISNUMBER(SEARCH("ausstehend",D11)),"",IF(ISNUMBER(SEARCH("Exception",D11)),-1,VALUE(SUBSTITUTE(_xlfn.TEXTBEFORE(_xlfn.TEXTAFTER(D11,"● "),"x"),"~","")))),-2)</f>
        <v/>
      </c>
      <c r="K11">
        <f>IFERROR(IF(ISNUMBER(SEARCH("ausstehend",E11)),"",IF(ISNUMBER(SEARCH("Exception",E11)),-1,VALUE(SUBSTITUTE(_xlfn.TEXTBEFORE(_xlfn.TEXTAFTER(E11,"● "),"%"),"~","")))),-2)</f>
        <v/>
      </c>
    </row>
    <row r="12" ht="129.95" customHeight="1" s="34">
      <c r="B12" s="9" t="inlineStr">
        <is>
          <t>MSFT</t>
        </is>
      </c>
      <c r="C12" s="11" t="inlineStr">
        <is>
          <t>Microsoft</t>
        </is>
      </c>
      <c r="D12" s="29" t="inlineStr">
        <is>
          <t>● ~38x (QT max 1)</t>
        </is>
      </c>
      <c r="E12" s="29" t="inlineStr">
        <is>
          <t>● 7,5% GAAP (&lt;WACC)</t>
        </is>
      </c>
      <c r="F12" s="29" t="inlineStr">
        <is>
          <t>● Wide</t>
        </is>
      </c>
      <c r="G12" s="30" t="inlineStr">
        <is>
          <t>● FLAG (Bull B FAIL CY26 $190B)</t>
        </is>
      </c>
      <c r="H12" s="30" t="inlineStr">
        <is>
          <t>● FLAG / DEFCON 2 (50) / ⏸ EINGEFROREN</t>
        </is>
      </c>
      <c r="I12" s="27" t="inlineStr">
        <is>
          <t>Score 50 / D2 (Q3 FY26 Tag-+1 30.04., -9 vs 17.04.). CapEx/OCF-FLAG. Re-Check Q4 FY26 ~Juli. Sparrate 0€.</t>
        </is>
      </c>
      <c r="J12">
        <f>IFERROR(IF(ISNUMBER(SEARCH("ausstehend",D12)),"",IF(ISNUMBER(SEARCH("Exception",D12)),-1,VALUE(SUBSTITUTE(_xlfn.TEXTBEFORE(_xlfn.TEXTAFTER(D12,"● "),"x"),"~","")))),-2)</f>
        <v/>
      </c>
      <c r="K12">
        <f>IFERROR(IF(ISNUMBER(SEARCH("ausstehend",E12)),"",IF(ISNUMBER(SEARCH("Exception",E12)),-1,VALUE(SUBSTITUTE(_xlfn.TEXTBEFORE(_xlfn.TEXTAFTER(E12,"● "),"%"),"~","")))),-2)</f>
        <v/>
      </c>
    </row>
    <row r="13" ht="129.95" customHeight="1" s="34">
      <c r="B13" s="9" t="inlineStr">
        <is>
          <t>NOW</t>
        </is>
      </c>
      <c r="C13" s="11" t="inlineStr">
        <is>
          <t>ServiceNow</t>
        </is>
      </c>
      <c r="D13" s="29" t="inlineStr">
        <is>
          <t>[ausstehend]</t>
        </is>
      </c>
      <c r="E13" s="29" t="inlineStr">
        <is>
          <t>[ausstehend]</t>
        </is>
      </c>
      <c r="F13" s="29" t="inlineStr">
        <is>
          <t>[ausstehend]</t>
        </is>
      </c>
      <c r="G13" s="29" t="inlineStr">
        <is>
          <t>[ausstehend]</t>
        </is>
      </c>
      <c r="H13" s="29" t="inlineStr">
        <is>
          <t>○ NEU / Screen ausstehend (Tier 1)</t>
        </is>
      </c>
      <c r="I13" s="27" t="inlineStr">
        <is>
          <t>Neuaufnahme 06.06.2026. QuickScreen + Vollanalyse ausstehend. Tier 1 (SOLL 40€).</t>
        </is>
      </c>
      <c r="J13">
        <f>IFERROR(IF(ISNUMBER(SEARCH("ausstehend",D13)),"",IF(ISNUMBER(SEARCH("Exception",D13)),-1,VALUE(SUBSTITUTE(_xlfn.TEXTBEFORE(_xlfn.TEXTAFTER(D13,"● "),"x"),"~","")))),-2)</f>
        <v/>
      </c>
      <c r="K13">
        <f>IFERROR(IF(ISNUMBER(SEARCH("ausstehend",E13)),"",IF(ISNUMBER(SEARCH("Exception",E13)),-1,VALUE(SUBSTITUTE(_xlfn.TEXTBEFORE(_xlfn.TEXTAFTER(E13,"● "),"%"),"~","")))),-2)</f>
        <v/>
      </c>
    </row>
    <row r="14" ht="129.95" customHeight="1" s="34">
      <c r="B14" s="9" t="inlineStr">
        <is>
          <t>RMS</t>
        </is>
      </c>
      <c r="C14" s="11" t="inlineStr">
        <is>
          <t>Hermès</t>
        </is>
      </c>
      <c r="D14" s="29" t="inlineStr">
        <is>
          <t>● 38x</t>
        </is>
      </c>
      <c r="E14" s="29" t="inlineStr">
        <is>
          <t>● 24,2% TTM (Screener-Exception &gt;&gt; WACC)</t>
        </is>
      </c>
      <c r="F14" s="29" t="inlineStr">
        <is>
          <t>● Wide</t>
        </is>
      </c>
      <c r="G14" s="30" t="inlineStr">
        <is>
          <t>✅</t>
        </is>
      </c>
      <c r="H14" s="30" t="inlineStr">
        <is>
          <t>● HALTEN</t>
        </is>
      </c>
      <c r="I14" s="27" t="inlineStr">
        <is>
          <t>Score 68 / D3 (Re-Analyse 15.04., 71→68 Q1 Miss). D4→D3 Label-Fix 18.04. Volle Tier-Rate 18€ (Tier 3).</t>
        </is>
      </c>
      <c r="J14">
        <f>IFERROR(IF(ISNUMBER(SEARCH("ausstehend",D14)),"",IF(ISNUMBER(SEARCH("Exception",D14)),-1,VALUE(SUBSTITUTE(_xlfn.TEXTBEFORE(_xlfn.TEXTAFTER(D14,"● "),"x"),"~","")))),-2)</f>
        <v/>
      </c>
      <c r="K14">
        <f>IFERROR(IF(ISNUMBER(SEARCH("ausstehend",E14)),"",IF(ISNUMBER(SEARCH("Exception",E14)),-1,VALUE(SUBSTITUTE(_xlfn.TEXTBEFORE(_xlfn.TEXTAFTER(E14,"● "),"%"),"~","")))),-2)</f>
        <v/>
      </c>
    </row>
    <row r="15" ht="72" customHeight="1" s="34">
      <c r="B15" s="9" t="inlineStr">
        <is>
          <t>SU</t>
        </is>
      </c>
      <c r="C15" s="11" t="inlineStr">
        <is>
          <t>Schneider Electric</t>
        </is>
      </c>
      <c r="D15" s="29" t="inlineStr">
        <is>
          <t>● ~38x</t>
        </is>
      </c>
      <c r="E15" s="29" t="inlineStr">
        <is>
          <t>● 10,48% TTM (&gt; WACC 8,96%)</t>
        </is>
      </c>
      <c r="F15" s="29" t="inlineStr">
        <is>
          <t>● Wide</t>
        </is>
      </c>
      <c r="G15" s="30" t="inlineStr">
        <is>
          <t>✅</t>
        </is>
      </c>
      <c r="H15" s="30" t="inlineStr">
        <is>
          <t>● HALTEN</t>
        </is>
      </c>
      <c r="I15" s="27" t="inlineStr">
        <is>
          <t>Score 69 / D3 (v3.7 Fix-3 Sell-Ratio). EUR. Non-US IFRS. D4→D3 Label-Fix 18.04. Volle Tier-Rate 18€ (Tier 3).</t>
        </is>
      </c>
      <c r="J15">
        <f>IFERROR(IF(ISNUMBER(SEARCH("ausstehend",D15)),"",IF(ISNUMBER(SEARCH("Exception",D15)),-1,VALUE(SUBSTITUTE(_xlfn.TEXTBEFORE(_xlfn.TEXTAFTER(D15,"● "),"x"),"~","")))),-2)</f>
        <v/>
      </c>
      <c r="K15">
        <f>IFERROR(IF(ISNUMBER(SEARCH("ausstehend",E15)),"",IF(ISNUMBER(SEARCH("Exception",E15)),-1,VALUE(SUBSTITUTE(_xlfn.TEXTBEFORE(_xlfn.TEXTAFTER(E15,"● "),"%"),"~","")))),-2)</f>
        <v/>
      </c>
    </row>
    <row r="16" ht="84" customHeight="1" s="34">
      <c r="B16" s="16" t="inlineStr">
        <is>
          <t>TMO</t>
        </is>
      </c>
      <c r="C16" s="18" t="inlineStr">
        <is>
          <t>Thermo Fisher</t>
        </is>
      </c>
      <c r="D16" s="29" t="inlineStr">
        <is>
          <t>● 31,10x</t>
        </is>
      </c>
      <c r="E16" s="29" t="inlineStr">
        <is>
          <t>● 17,18% (Regel-4 bereinigt)</t>
        </is>
      </c>
      <c r="F16" s="29" t="inlineStr">
        <is>
          <t>● Wide</t>
        </is>
      </c>
      <c r="G16" s="30" t="inlineStr">
        <is>
          <t>✅</t>
        </is>
      </c>
      <c r="H16" s="30" t="inlineStr">
        <is>
          <t>● DEFCON 3 / ✅ VOLLRATE</t>
        </is>
      </c>
      <c r="I16" s="28" t="inlineStr">
        <is>
          <t>Score 67 / D3 (Q1 FY26 Beat+Raise 23.04.). fcf_trend_neg Resolve. Q2 ~Ende Juli. Volle Tier-Rate 18€ (Tier 3).</t>
        </is>
      </c>
      <c r="J16">
        <f>IFERROR(IF(ISNUMBER(SEARCH("ausstehend",D16)),"",IF(ISNUMBER(SEARCH("Exception",D16)),-1,VALUE(SUBSTITUTE(_xlfn.TEXTBEFORE(_xlfn.TEXTAFTER(D16,"● "),"x"),"~","")))),-2)</f>
        <v/>
      </c>
      <c r="K16">
        <f>IFERROR(IF(ISNUMBER(SEARCH("ausstehend",E16)),"",IF(ISNUMBER(SEARCH("Exception",E16)),-1,VALUE(SUBSTITUTE(_xlfn.TEXTBEFORE(_xlfn.TEXTAFTER(E16,"● "),"%"),"~","")))),-2)</f>
        <v/>
      </c>
    </row>
    <row r="17" ht="108" customHeight="1" s="34">
      <c r="B17" s="9" t="inlineStr">
        <is>
          <t>V</t>
        </is>
      </c>
      <c r="C17" s="11" t="inlineStr">
        <is>
          <t>Visa</t>
        </is>
      </c>
      <c r="D17" s="29" t="inlineStr">
        <is>
          <t>● 28,32x</t>
        </is>
      </c>
      <c r="E17" s="29" t="inlineStr">
        <is>
          <t>● 9,89% GAAP &lt; WACC 10,48%</t>
        </is>
      </c>
      <c r="F17" s="29" t="inlineStr">
        <is>
          <t>● Wide</t>
        </is>
      </c>
      <c r="G17" s="30" t="inlineStr">
        <is>
          <t>● D2 (Sockelbetrag)</t>
        </is>
      </c>
      <c r="H17" s="30" t="inlineStr">
        <is>
          <t>● DEFCON 2 / ⏸ Sockelbetrag</t>
        </is>
      </c>
      <c r="I17" s="27" t="inlineStr">
        <is>
          <t>Score 64 / D2 (Q2 Beat→Codex-Revert 28.04.). Technicals-Kollaps. Sockelbetrag 16€ (50% Tier 2). Q3 ~Ende Juli ROIC-Verify.</t>
        </is>
      </c>
      <c r="J17">
        <f>IFERROR(IF(ISNUMBER(SEARCH("ausstehend",D17)),"",IF(ISNUMBER(SEARCH("Exception",D17)),-1,VALUE(SUBSTITUTE(_xlfn.TEXTBEFORE(_xlfn.TEXTAFTER(D17,"● "),"x"),"~","")))),-2)</f>
        <v/>
      </c>
      <c r="K17">
        <f>IFERROR(IF(ISNUMBER(SEARCH("ausstehend",E17)),"",IF(ISNUMBER(SEARCH("Exception",E17)),-1,VALUE(SUBSTITUTE(_xlfn.TEXTBEFORE(_xlfn.TEXTAFTER(E17,"● "),"%"),"~","")))),-2)</f>
        <v/>
      </c>
    </row>
    <row r="18" ht="72" customHeight="1" s="34">
      <c r="B18" s="9" t="inlineStr">
        <is>
          <t>ZETA</t>
        </is>
      </c>
      <c r="C18" s="11" t="inlineStr">
        <is>
          <t>Zeta Global</t>
        </is>
      </c>
      <c r="D18" s="29" t="inlineStr">
        <is>
          <t>[ausstehend]</t>
        </is>
      </c>
      <c r="E18" s="29" t="inlineStr">
        <is>
          <t>[ausstehend]</t>
        </is>
      </c>
      <c r="F18" s="29" t="inlineStr">
        <is>
          <t>[ausstehend]</t>
        </is>
      </c>
      <c r="G18" s="29" t="inlineStr">
        <is>
          <t>[ausstehend]</t>
        </is>
      </c>
      <c r="H18" s="29" t="inlineStr">
        <is>
          <t>○ NEU / Screen ausstehend (Tier 3)</t>
        </is>
      </c>
      <c r="I18" s="27" t="inlineStr">
        <is>
          <t>Neuaufnahme 06.06.2026. QuickScreen + Vollanalyse ausstehend. Tier 3 (SOLL 18€).</t>
        </is>
      </c>
      <c r="J18">
        <f>IFERROR(IF(ISNUMBER(SEARCH("ausstehend",D18)),"",IF(ISNUMBER(SEARCH("Exception",D18)),-1,VALUE(SUBSTITUTE(_xlfn.TEXTBEFORE(_xlfn.TEXTAFTER(D18,"● "),"x"),"~","")))),-2)</f>
        <v/>
      </c>
      <c r="K18">
        <f>IFERROR(IF(ISNUMBER(SEARCH("ausstehend",E18)),"",IF(ISNUMBER(SEARCH("Exception",E18)),-1,VALUE(SUBSTITUTE(_xlfn.TEXTBEFORE(_xlfn.TEXTAFTER(E18,"● "),"%"),"~","")))),-2)</f>
        <v/>
      </c>
    </row>
    <row r="20" ht="15.75" customHeight="1" s="34">
      <c r="B20" s="48" t="inlineStr">
        <is>
          <t>LEGENDE</t>
        </is>
      </c>
      <c r="C20" s="37" t="n"/>
      <c r="D20" s="37" t="n"/>
      <c r="E20" s="37" t="n"/>
      <c r="F20" s="37" t="n"/>
      <c r="G20" s="37" t="n"/>
      <c r="H20" s="37" t="n"/>
      <c r="I20" s="38" t="n"/>
    </row>
    <row r="21" ht="13.5" customHeight="1" s="34">
      <c r="B21" s="46" t="inlineStr">
        <is>
          <t>● HALTEN: Alle 3 Filter grün + kein FLAG → Volle Tier-Rate (Tier 1 = 40€, Tier 2 = 32€, Tier 3 = 18€)</t>
        </is>
      </c>
      <c r="C21" s="37" t="n"/>
      <c r="D21" s="37" t="n"/>
      <c r="E21" s="37" t="n"/>
      <c r="F21" s="37" t="n"/>
      <c r="G21" s="37" t="n"/>
      <c r="H21" s="37" t="n"/>
      <c r="I21" s="38" t="n"/>
    </row>
    <row r="22" ht="13.5" customHeight="1" s="34">
      <c r="B22" s="50" t="inlineStr">
        <is>
          <t>● PRÜFEN / DEFCON 2 Sockelbetrag: Mind. 1 Filter gelb oder Score 60–64 ohne FLAG → 50% der Tier-Rate</t>
        </is>
      </c>
      <c r="C22" s="37" t="n"/>
      <c r="D22" s="37" t="n"/>
      <c r="E22" s="37" t="n"/>
      <c r="F22" s="37" t="n"/>
      <c r="G22" s="37" t="n"/>
      <c r="H22" s="37" t="n"/>
      <c r="I22" s="38" t="n"/>
    </row>
    <row r="23" ht="13.5" customHeight="1" s="34">
      <c r="B23" s="39" t="inlineStr">
        <is>
          <t>● EINGEFROREN: FLAG aktiv (AMZN, APH, AVGO, MSFT) → Sparrate 0€, Re-Analyse pflichtig</t>
        </is>
      </c>
      <c r="C23" s="37" t="n"/>
      <c r="D23" s="37" t="n"/>
      <c r="E23" s="37" t="n"/>
      <c r="F23" s="37" t="n"/>
      <c r="G23" s="37" t="n"/>
      <c r="H23" s="37" t="n"/>
      <c r="I23" s="38" t="n"/>
    </row>
    <row r="24" ht="13.5" customHeight="1" s="34">
      <c r="B24" s="36" t="inlineStr">
        <is>
          <t>Exception-Logik: BRK.B (P/B statt P/FCF, Float-Power statt klassischer ROIC) | Real-Raten &amp; Geldfluss: siehe Rebalancing-Tool | Stand: 06.06.2026</t>
        </is>
      </c>
      <c r="C24" s="37" t="n"/>
      <c r="D24" s="37" t="n"/>
      <c r="E24" s="37" t="n"/>
      <c r="F24" s="37" t="n"/>
      <c r="G24" s="37" t="n"/>
      <c r="H24" s="37" t="n"/>
      <c r="I24" s="38" t="n"/>
    </row>
  </sheetData>
  <mergeCells count="7">
    <mergeCell ref="B21:I21"/>
    <mergeCell ref="B24:I24"/>
    <mergeCell ref="B2:I2"/>
    <mergeCell ref="B20:I20"/>
    <mergeCell ref="B3:I3"/>
    <mergeCell ref="B22:I22"/>
    <mergeCell ref="B23:I23"/>
  </mergeCells>
  <conditionalFormatting sqref="D6:D18">
    <cfRule type="expression" priority="2" dxfId="0">
      <formula>$J6=-1</formula>
    </cfRule>
    <cfRule type="expression" priority="3" dxfId="0">
      <formula>AND($J6&gt;=0,$J6&lt;=35)</formula>
    </cfRule>
    <cfRule type="expression" priority="4" dxfId="2">
      <formula>AND($J6&gt;35,$J6&lt;=45)</formula>
    </cfRule>
    <cfRule type="expression" priority="5" dxfId="3">
      <formula>$J6&gt;45</formula>
    </cfRule>
  </conditionalFormatting>
  <conditionalFormatting sqref="D6:G18">
    <cfRule type="containsText" priority="1" operator="containsText" dxfId="4" text="ausstehend">
      <formula>NOT(ISERROR(SEARCH("ausstehend",D6)))</formula>
    </cfRule>
  </conditionalFormatting>
  <conditionalFormatting sqref="E6:E18">
    <cfRule type="expression" priority="7" dxfId="0">
      <formula>$K6=-1</formula>
    </cfRule>
    <cfRule type="expression" priority="8" dxfId="0">
      <formula>$K6&gt;=15</formula>
    </cfRule>
    <cfRule type="expression" priority="9" dxfId="2">
      <formula>AND($K6&gt;=12,$K6&lt;15)</formula>
    </cfRule>
    <cfRule type="expression" priority="10" dxfId="3">
      <formula>AND($K6&gt;=0,$K6&lt;12)</formula>
    </cfRule>
  </conditionalFormatting>
  <conditionalFormatting sqref="F6:F18">
    <cfRule type="containsText" priority="12" operator="containsText" dxfId="0" text="Wide">
      <formula>NOT(ISERROR(SEARCH("Wide",F6)))</formula>
    </cfRule>
    <cfRule type="containsText" priority="13" operator="containsText" dxfId="2" text="Narrow">
      <formula>NOT(ISERROR(SEARCH("Narrow",F6)))</formula>
    </cfRule>
    <cfRule type="containsText" priority="14" operator="containsText" dxfId="3" text="None">
      <formula>NOT(ISERROR(SEARCH("None",F6)))</formula>
    </cfRule>
  </conditionalFormatting>
  <conditionalFormatting sqref="G6:G18">
    <cfRule type="containsText" priority="16" operator="containsText" dxfId="3" text="FLAG">
      <formula>NOT(ISERROR(SEARCH("FLAG",G6)))</formula>
    </cfRule>
    <cfRule type="containsText" priority="17" operator="containsText" dxfId="2" text="D2">
      <formula>NOT(ISERROR(SEARCH("D2",G6)))</formula>
    </cfRule>
    <cfRule type="containsText" priority="18" operator="containsText" dxfId="2" text="Sockel">
      <formula>NOT(ISERROR(SEARCH("Sockel",G6)))</formula>
    </cfRule>
  </conditionalFormatting>
  <conditionalFormatting sqref="H6:H18">
    <cfRule type="containsText" priority="19" operator="containsText" dxfId="4" text="NEU">
      <formula>NOT(ISERROR(SEARCH("NEU",H6)))</formula>
    </cfRule>
    <cfRule type="containsText" priority="20" operator="containsText" dxfId="3" text="EINGEFROREN">
      <formula>NOT(ISERROR(SEARCH("EINGEFROREN",H6)))</formula>
    </cfRule>
    <cfRule type="containsText" priority="21" operator="containsText" dxfId="2" text="Sockelbetrag">
      <formula>NOT(ISERROR(SEARCH("Sockelbetrag",H6)))</formula>
    </cfRule>
    <cfRule type="containsText" priority="22" operator="containsText" dxfId="0" text="VOLLRATE">
      <formula>NOT(ISERROR(SEARCH("VOLLRATE",H6)))</formula>
    </cfRule>
    <cfRule type="containsText" priority="23" operator="containsText" dxfId="0" text="HALTEN">
      <formula>NOT(ISERROR(SEARCH("HALTEN",H6)))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2026-04-02T15:20:51Z</dcterms:created>
  <dcterms:modified xmlns:dcterms="http://purl.org/dc/terms/" xmlns:xsi="http://www.w3.org/2001/XMLSchema-instance" xsi:type="dcterms:W3CDTF">2026-09-04T01:06:36Z</dcterms:modified>
  <cp:lastModifiedBy>Tobias Kowalski</cp:lastModifiedBy>
  <cp:revision>0</cp:revision>
</cp:coreProperties>
</file>