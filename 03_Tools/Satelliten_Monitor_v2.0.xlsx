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Satelliten Monitor" sheetId="1" state="visible" r:id="rId1"/>
    <sheet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€#,##0.00"/>
    <numFmt numFmtId="165" formatCode="yyyy-mm-dd h:mm:ss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5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 val="1"/>
        <sz val="9"/>
      </font>
      <fill>
        <patternFill>
          <bgColor rgb="FFE2EFDA"/>
        </patternFill>
      </fill>
    </dxf>
    <dxf>
      <font>
        <b val="1"/>
        <sz val="9"/>
      </font>
      <fill>
        <patternFill>
          <bgColor rgb="FFFFF2CC"/>
        </patternFill>
      </fill>
    </dxf>
    <dxf>
      <font>
        <b val="1"/>
        <color rgb="FFCC0000"/>
        <sz val="9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U13" sqref="U13"/>
    </sheetView>
  </sheetViews>
  <sheetFormatPr baseColWidth="10" defaultColWidth="9.140625" defaultRowHeight="15"/>
  <cols>
    <col width="2" customWidth="1" style="28" min="1" max="1"/>
    <col width="7" customWidth="1" style="28" min="2" max="2"/>
    <col width="18" customWidth="1" style="28" min="3" max="3"/>
    <col width="14" customWidth="1" style="28" min="4" max="4"/>
    <col width="12" customWidth="1" style="28" min="5" max="5"/>
    <col width="10" customWidth="1" style="28" min="6" max="6"/>
    <col width="11" customWidth="1" style="28" min="7" max="7"/>
    <col width="10" customWidth="1" style="28" min="8" max="8"/>
    <col width="13" customWidth="1" style="28" min="9" max="9"/>
    <col width="14" customWidth="1" style="28" min="10" max="10"/>
    <col width="8" customWidth="1" style="28" min="11" max="11"/>
    <col width="14" customWidth="1" style="28" min="12" max="12"/>
    <col width="8" customWidth="1" style="28" min="13" max="13"/>
    <col width="21.28515625" customWidth="1" style="28" min="14" max="14"/>
    <col width="10" customWidth="1" style="28" min="15" max="15"/>
    <col width="13" customWidth="1" style="28" min="16" max="16"/>
    <col width="11" customWidth="1" style="28" min="17" max="17"/>
    <col width="9" customWidth="1" style="28" min="18" max="18"/>
    <col width="48" customWidth="1" style="28" min="19" max="19"/>
  </cols>
  <sheetData>
    <row r="1" ht="6" customHeight="1" s="28"/>
    <row r="2" ht="27.75" customHeight="1" s="28">
      <c r="B2" s="33" t="inlineStr">
        <is>
          <t>🦅  DYNASTIEDEPOT – SATELLITEN MONITOR v2.0</t>
        </is>
      </c>
      <c r="O2" s="29" t="inlineStr">
        <is>
          <t>Stand: 17.04.2026  |  Broker: Scalable Capital  |  Slots: 11/11</t>
        </is>
      </c>
    </row>
    <row r="3" ht="27.75" customHeight="1" s="28">
      <c r="B3" s="27" t="inlineStr">
        <is>
          <t>Sparrate Satelliten: 285 €/Monat  |  D4/D3-Rate: ~33,53€  |  D2-Sockelbetrag: ~16,76€ (50%)  |  Nenner 8.5 (v3.7)</t>
        </is>
      </c>
      <c r="E3" s="31" t="inlineStr">
        <is>
          <t>Vollanalysiert: 11 / 11 ✅  |  Geschätzt: 0 / 11</t>
        </is>
      </c>
      <c r="H3" s="31" t="inlineStr">
        <is>
          <t>Eingefroren: MSFT (🔴 FLAG CapEx/OCF, D2) | APH (🔴 FLAG Score-basiert, D3) — Sparrate 0€</t>
        </is>
      </c>
      <c r="K3" s="31" t="inlineStr">
        <is>
          <t>Ergebnis: 🟢 8 Voll  🟠 1 D2-Sockelbetrag (TMO)  🔴 2 Eingefroren (MSFT, APH)</t>
        </is>
      </c>
      <c r="N3" s="32" t="inlineStr">
        <is>
          <t>Quellen: Vollanalyse [V] | Kalibrierungsanalyse [KB] | Schätzung [~] | Tariff-Check [TC]</t>
        </is>
      </c>
    </row>
    <row r="4" ht="18" customHeight="1" s="28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28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28"/>
    <row r="7" ht="69.95" customHeight="1" s="28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~42–50x [~]</t>
        </is>
      </c>
      <c r="F7" s="6" t="inlineStr">
        <is>
          <t>~35% [~]</t>
        </is>
      </c>
      <c r="G7" s="6" t="inlineStr">
        <is>
          <t>~51% [~]</t>
        </is>
      </c>
      <c r="H7" s="6" t="inlineStr">
        <is>
          <t>~16% [~]</t>
        </is>
      </c>
      <c r="I7" s="5" t="inlineStr">
        <is>
          <t>9 / Wide ✅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66 / DEFCON 3</t>
        </is>
      </c>
      <c r="M7" s="5" t="inlineStr">
        <is>
          <t>-2</t>
        </is>
      </c>
      <c r="N7" s="7" t="inlineStr">
        <is>
          <t>🟡 DEFCON 3 / ✅ Volle Rate 33,53€ (D3=1.0 seit v3.4)</t>
        </is>
      </c>
      <c r="O7" s="8" t="n">
        <v>33.53</v>
      </c>
      <c r="P7" s="5" t="inlineStr">
        <is>
          <t>Q1 2026 Earnings 15.04.</t>
        </is>
      </c>
      <c r="Q7" s="37" t="inlineStr">
        <is>
          <t>17.04.2026</t>
        </is>
      </c>
      <c r="R7" s="5" t="n">
        <v>0</v>
      </c>
      <c r="S7" s="4" t="inlineStr">
        <is>
          <t>[V] DEFCON 3 (68/100). Moat 19/20 Wide Monopol, Fwd P/E 38x + P/FCF ~41x = Bewertungsprämie ohne Sicherheitsmarge. China-Revenue 14.7% → Kein Tariff-FLAG.</t>
        </is>
      </c>
    </row>
    <row r="8" ht="69.95" customHeight="1" s="28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~65% [KB]</t>
        </is>
      </c>
      <c r="G8" s="12" t="inlineStr">
        <is>
          <t>~68%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</t>
        </is>
      </c>
      <c r="N8" s="13" t="inlineStr">
        <is>
          <t>⚠️ Insider-Check ausstehend (verm. Post-Vesting) | Sparplan läuft</t>
        </is>
      </c>
      <c r="O8" s="8" t="n">
        <v>33.53</v>
      </c>
      <c r="P8" s="11" t="inlineStr">
        <is>
          <t>Q3 FY26 Earnings Jun 2026</t>
        </is>
      </c>
      <c r="Q8" s="38" t="inlineStr">
        <is>
          <t>17.04.2026</t>
        </is>
      </c>
      <c r="R8" s="11" t="n">
        <v>0</v>
      </c>
      <c r="S8" s="10" t="inlineStr">
        <is>
          <t>[KB] Kalibrierungsanker 86/100. Fabless CapEx/OCF &lt;15%. AI-Backlog 3B. Insider-FLAG: 23M vermutl. Post-Vesting — OpenInsider-Check vor FLAG-Aktivierung Pflicht.</t>
        </is>
      </c>
    </row>
    <row r="9" ht="69.95" customHeight="1" s="28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~7.5% [V]</t>
        </is>
      </c>
      <c r="G9" s="6" t="inlineStr">
        <is>
          <t>~70% [KB]</t>
        </is>
      </c>
      <c r="H9" s="6" t="inlineStr">
        <is>
          <t>~13% [~]</t>
        </is>
      </c>
      <c r="I9" s="5" t="inlineStr">
        <is>
          <t>9 / Wide ✅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7" t="inlineStr">
        <is>
          <t>17.04.2026</t>
        </is>
      </c>
      <c r="R9" s="5" t="n">
        <v>0</v>
      </c>
      <c r="S9" s="4" t="inlineStr">
        <is>
          <t>[V] Re-Analyse 08.04.: Score 77→60 (−17). CapEx/OCF Q2 FY26 83.6% (bereinigt ~63%). ROIC 7.5% &lt; WACC 13.35%. FLAG aktiv. Re-Check 29.04.: bereinigtes CapEx/OCF &lt;60% = FLAG-Auflösung möglich.</t>
        </is>
      </c>
    </row>
    <row r="10" ht="69.95" customHeight="1" s="28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~50–55x [~]</t>
        </is>
      </c>
      <c r="F10" s="12" t="inlineStr">
        <is>
          <t>~30% [~]</t>
        </is>
      </c>
      <c r="G10" s="12" t="inlineStr">
        <is>
          <t>~13% ✅</t>
        </is>
      </c>
      <c r="H10" s="12" t="inlineStr">
        <is>
          <t>~10% [~]</t>
        </is>
      </c>
      <c r="I10" s="11" t="inlineStr">
        <is>
          <t>8 / Wide ✅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4</t>
        </is>
      </c>
      <c r="M10" s="11" t="inlineStr">
        <is>
          <t>0</t>
        </is>
      </c>
      <c r="N10" s="13" t="inlineStr">
        <is>
          <t>🟢 Halten | Screener-Exception Membership Yield 15.2% &gt; WACC</t>
        </is>
      </c>
      <c r="O10" s="8" t="n">
        <v>33.53</v>
      </c>
      <c r="P10" s="11" t="inlineStr">
        <is>
          <t>28.05.2026</t>
        </is>
      </c>
      <c r="Q10" s="38" t="inlineStr">
        <is>
          <t>17.04.2026</t>
        </is>
      </c>
      <c r="R10" s="11" t="n">
        <v>0</v>
      </c>
      <c r="S10" s="10" t="inlineStr">
        <is>
          <t>[~] Exception: GM ~13% strukturell (Membership-Fee). P/FCF &gt; 45x Exception aktiv. !Analysiere ausstehend.</t>
        </is>
      </c>
    </row>
    <row r="11" ht="69.95" customHeight="1" s="28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~38x [V]</t>
        </is>
      </c>
      <c r="F11" s="6" t="inlineStr">
        <is>
          <t>~22% [V]</t>
        </is>
      </c>
      <c r="G11" s="6" t="inlineStr">
        <is>
          <t>~70% [V]</t>
        </is>
      </c>
      <c r="H11" s="6" t="inlineStr">
        <is>
          <t>~13% [~]</t>
        </is>
      </c>
      <c r="I11" s="5" t="inlineStr">
        <is>
          <t>Wide [~]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4</t>
        </is>
      </c>
      <c r="M11" s="5" t="inlineStr">
        <is>
          <t>-1</t>
        </is>
      </c>
      <c r="N11" s="7" t="inlineStr">
        <is>
          <t>🟢 Halten | Screener-Exception ROIC 24% &gt;&gt; WACC | v3.7 Fix-1 Interaktionsterm</t>
        </is>
      </c>
      <c r="O11" s="8" t="n">
        <v>33.53</v>
      </c>
      <c r="P11" s="5" t="inlineStr">
        <is>
          <t>H1 2026 Report Juli/Aug 2026</t>
        </is>
      </c>
      <c r="Q11" s="37" t="inlineStr">
        <is>
          <t>17.04.2026</t>
        </is>
      </c>
      <c r="R11" s="5" t="n">
        <v>0</v>
      </c>
      <c r="S11" s="4" t="inlineStr">
        <is>
      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</t>
        </is>
      </c>
    </row>
    <row r="12" ht="69.95" customHeight="1" s="28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 ✅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4</t>
        </is>
      </c>
      <c r="M12" s="11" t="inlineStr">
        <is>
          <t>0</t>
        </is>
      </c>
      <c r="N12" s="7" t="inlineStr">
        <is>
          <t>🟢 Halten</t>
        </is>
      </c>
      <c r="O12" s="8" t="n">
        <v>33.53</v>
      </c>
      <c r="P12" s="11" t="inlineStr">
        <is>
          <t>21.05.2026 Q1 FY27</t>
        </is>
      </c>
      <c r="Q12" s="38" t="inlineStr">
        <is>
          <t>17.04.2026</t>
        </is>
      </c>
      <c r="R12" s="11" t="n">
        <v>0</v>
      </c>
      <c r="S12" s="10" t="inlineStr">
        <is>
          <t>[V] DEFCON 4 (74/100). Asset-light SaaS. Moat Wide (Switching Costs Life-Science). CapEx/OCF &lt;10%. Sparplan voll aktiv.</t>
        </is>
      </c>
    </row>
    <row r="13" ht="69.95" customHeight="1" s="28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~20–25x [~]</t>
        </is>
      </c>
      <c r="F13" s="6" t="inlineStr">
        <is>
          <t>~12% [~]</t>
        </is>
      </c>
      <c r="G13" s="6" t="inlineStr">
        <is>
          <t>~40% [~]</t>
        </is>
      </c>
      <c r="H13" s="6" t="inlineStr">
        <is>
          <t>~11% [~]</t>
        </is>
      </c>
      <c r="I13" s="5" t="inlineStr">
        <is>
          <t>Wide [~]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4</t>
        </is>
      </c>
      <c r="M13" s="5" t="inlineStr">
        <is>
          <t>-2</t>
        </is>
      </c>
      <c r="N13" s="13" t="inlineStr">
        <is>
          <t>🟢 Halten | v3.7 Fix-3 Sell-Ratio-Kalibrierung</t>
        </is>
      </c>
      <c r="O13" s="8" t="n">
        <v>33.53</v>
      </c>
      <c r="P13" s="5" t="inlineStr">
        <is>
          <t>07.05.2026</t>
        </is>
      </c>
      <c r="Q13" s="37" t="inlineStr">
        <is>
          <t>17.04.2026</t>
        </is>
      </c>
      <c r="R13" s="5" t="n">
        <v>0</v>
      </c>
      <c r="S13" s="4" t="inlineStr">
        <is>
          <t>[~] EUR-denominiert. ROIC ~12% Grenzfall. Non-US IFRS. !Analysiere ausstehend. ADR: SBGSY.</t>
        </is>
      </c>
    </row>
    <row r="14" ht="69.95" customHeight="1" s="28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</t>
        </is>
      </c>
      <c r="F14" s="12" t="inlineStr">
        <is>
          <t>Exception</t>
        </is>
      </c>
      <c r="G14" s="12" t="inlineStr">
        <is>
          <t>n.a.*</t>
        </is>
      </c>
      <c r="H14" s="12" t="inlineStr">
        <is>
          <t>~8% [~]</t>
        </is>
      </c>
      <c r="I14" s="11" t="inlineStr">
        <is>
          <t>Wide [~]</t>
        </is>
      </c>
      <c r="J14" s="11" t="inlineStr">
        <is>
          <t>~1,5–1,6x P/B</t>
        </is>
      </c>
      <c r="K14" s="11" t="inlineStr">
        <is>
          <t>Ja</t>
        </is>
      </c>
      <c r="L14" s="11" t="inlineStr">
        <is>
          <t>75 / DEFCON 4</t>
        </is>
      </c>
      <c r="M14" s="11" t="inlineStr">
        <is>
          <t>0</t>
        </is>
      </c>
      <c r="N14" s="13" t="inlineStr">
        <is>
          <t>🟢 Halten | Insurance Exception (P/B 1.44x)</t>
        </is>
      </c>
      <c r="O14" s="8" t="n">
        <v>33.53</v>
      </c>
      <c r="P14" s="11" t="inlineStr">
        <is>
          <t>30.06.2026</t>
        </is>
      </c>
      <c r="Q14" s="38" t="inlineStr">
        <is>
          <t>17.04.2026</t>
        </is>
      </c>
      <c r="R14" s="11" t="n">
        <v>0</v>
      </c>
      <c r="S14" s="10" t="inlineStr">
        <is>
          <t>[~] Exception: P/B ~1.5–1.6x ✅ (&lt;1.5x = Kaufsignal Buffett). Float &gt;70B. Holding-Float-Logik aktiv.</t>
        </is>
      </c>
    </row>
    <row r="15" ht="69.95" customHeight="1" s="28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~28–32x [~]</t>
        </is>
      </c>
      <c r="F15" s="6" t="inlineStr">
        <is>
          <t>~45% [~]</t>
        </is>
      </c>
      <c r="G15" s="6" t="inlineStr">
        <is>
          <t>~80% [KB]</t>
        </is>
      </c>
      <c r="H15" s="6" t="inlineStr">
        <is>
          <t>~12% [~]</t>
        </is>
      </c>
      <c r="I15" s="5" t="inlineStr">
        <is>
          <t>9 / Wide ✅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86 / DEFCON 4</t>
        </is>
      </c>
      <c r="M15" s="5" t="inlineStr">
        <is>
          <t>0</t>
        </is>
      </c>
      <c r="N15" s="13" t="inlineStr">
        <is>
          <t>🟢 Halten | Kalibrierungsanker</t>
        </is>
      </c>
      <c r="O15" s="8" t="n">
        <v>33.53</v>
      </c>
      <c r="P15" s="5" t="inlineStr">
        <is>
          <t>22.07.2026</t>
        </is>
      </c>
      <c r="Q15" s="37" t="inlineStr">
        <is>
          <t>17.04.2026</t>
        </is>
      </c>
      <c r="R15" s="5" t="n">
        <v>0</v>
      </c>
      <c r="S15" s="4" t="inlineStr">
        <is>
          <t>[~] Asset-light Netz. ROIC ~45%, Moat 9/10 ✅. P/FCF ~30x attraktiv. !Analysiere ausstehend.</t>
        </is>
      </c>
    </row>
    <row r="16" ht="69.95" customHeight="1" s="28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~29x [V]</t>
        </is>
      </c>
      <c r="F16" s="12" t="inlineStr">
        <is>
          <t>~9% [V]</t>
        </is>
      </c>
      <c r="G16" s="12" t="inlineStr">
        <is>
          <t>~45% [~]</t>
        </is>
      </c>
      <c r="H16" s="12" t="inlineStr">
        <is>
          <t>~4% [~]</t>
        </is>
      </c>
      <c r="I16" s="11" t="inlineStr">
        <is>
          <t>Wide [~]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63 / DEFCON 2</t>
        </is>
      </c>
      <c r="M16" s="11" t="inlineStr">
        <is>
          <t>-4</t>
        </is>
      </c>
      <c r="N16" s="7" t="inlineStr">
        <is>
          <t>🟠 DEFCON 2 / ⏸ Sockelbetrag 16,76€ (v3.7: Fix-2 OpM + Fix-3 Sell-Ratio)</t>
        </is>
      </c>
      <c r="O16" s="15" t="n">
        <v>16.76</v>
      </c>
      <c r="P16" s="11" t="inlineStr">
        <is>
          <t>23.04.2026 Q1 Earnings</t>
        </is>
      </c>
      <c r="Q16" s="38" t="inlineStr">
        <is>
          <t>17.04.2026</t>
        </is>
      </c>
      <c r="R16" s="11" t="n">
        <v>0</v>
      </c>
      <c r="S16" s="10" t="inlineStr">
        <is>
          <t>[V] Re-Analyse 07.04.: Score 65→67 (+2). Net Debt/EBITDA 3.6x→2.57x ✅. Fwd P/E 27x→19.9x ✅. ROIC 2.6% &lt; WACC bleibt Schwäche. FCF −13.4% YoY. Trigger 23.04.: FCF &gt;.3B nötig.</t>
        </is>
      </c>
    </row>
    <row r="17" ht="69.95" customHeight="1" s="28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~25–30x [~]</t>
        </is>
      </c>
      <c r="F17" s="6" t="inlineStr">
        <is>
          <t>~22% [~]</t>
        </is>
      </c>
      <c r="G17" s="6" t="inlineStr">
        <is>
          <t>~34% [~]</t>
        </is>
      </c>
      <c r="H17" s="6" t="inlineStr">
        <is>
          <t>~18% [~]</t>
        </is>
      </c>
      <c r="I17" s="5" t="inlineStr">
        <is>
          <t>Wide [~]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3</t>
        </is>
      </c>
      <c r="M17" s="5" t="inlineStr">
        <is>
          <t>+2</t>
        </is>
      </c>
      <c r="N17" s="13" t="inlineStr">
        <is>
          <t>🔴 FLAG: Score 63 (DEFCON 3) | CN Revenue 14.7% Risk-Map [TC] | Sparrate 0€</t>
        </is>
      </c>
      <c r="O17" s="8" t="n">
        <v>0</v>
      </c>
      <c r="P17" s="5" t="inlineStr">
        <is>
          <t>Q2 2025 Earnings 23.07.2025</t>
        </is>
      </c>
      <c r="Q17" s="37" t="inlineStr">
        <is>
          <t>17.04.2026</t>
        </is>
      </c>
      <c r="R17" s="5" t="n">
        <v>0</v>
      </c>
      <c r="S17" s="4" t="inlineStr">
        <is>
          <t>[V+TC] DEFCON 3 (61/100). FLAG aktiv (Score-basiert). Tariff-Check 15.04.: China Revenue 14.7% &lt; 15%-Schwelle → kein Revenue-FLAG. Supply-Chain CN/MY bestätigt (CEO Q1 2025 Call). Risk-Map-Notiz aktiv.</t>
        </is>
      </c>
    </row>
    <row r="18" ht="19.5" customHeight="1" s="28">
      <c r="B18" s="34" t="inlineStr">
        <is>
          <t>Sparrate-Check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6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28">
      <c r="B20" s="30" t="inlineStr">
        <is>
          <t>LEGENDE &amp; DATENQUALITÄT</t>
        </is>
      </c>
    </row>
    <row r="21" ht="13.5" customHeight="1" s="28">
      <c r="B21" s="24" t="inlineStr">
        <is>
          <t>✅ Fetched Live – GuruFocus term-pages 02.04.2026: Moat-Scores ASML(9) COST(8) VEEV(8) V(9) MSFT(9)</t>
        </is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6" t="n"/>
    </row>
    <row r="22" ht="13.5" customHeight="1" s="28">
      <c r="B22" s="24" t="inlineStr">
        <is>
          <t>[KB] – Kalibrierungsanalyse: AVGO 86/100 (25.03.), TMO 65→67 (07.04.), ASML 68 (06.04.), MSFT 77→60 (08.04.), APH 61 (09.04.), RMS 71→69 (15.04. Re-Analyse), VEEV 74 (09.04.)</t>
        </is>
      </c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6" t="n"/>
    </row>
    <row r="23" ht="13.5" customHeight="1" s="28">
      <c r="B23" s="24" t="inlineStr">
        <is>
          <t>[~] – Schätzung Wissensbasis (plausibel) | [V] – Vollanalyse verifiziert | [TC] – Tariff-Check abgeschlossen 15.04.2026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6" t="n"/>
    </row>
    <row r="24" ht="13.5" customHeight="1" s="28">
      <c r="B24" s="24" t="inlineStr">
        <is>
          <t>🔴 EINGEFROREN: MSFT (FLAG CapEx/OCF, D2, Score 59) | APH (FLAG Score-basiert, D3, Score 63) — Sparrate 0€</t>
        </is>
      </c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6" t="n"/>
    </row>
    <row r="25" ht="15" customHeight="1" s="28">
      <c r="B25" s="24" t="inlineStr">
        <is>
          <t>🟢 Volle Rate 33,53€ (8 Positionen): ASML D3, AVGO/COST/RMS/VEEV/SU/BRK.B/V D4  |  🟠 D2-Sockelbetrag 16,76€: TMO</t>
        </is>
      </c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6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3" dxfId="2">
      <formula>ISNUMBER(SEARCH("DEFCON 4",L7))</formula>
    </cfRule>
    <cfRule type="expression" priority="14" dxfId="1">
      <formula>ISNUMBER(SEARCH("DEFCON 3",L7))</formula>
    </cfRule>
    <cfRule type="expression" priority="15" dxfId="12">
      <formula>ISNUMBER(SEARCH("DEFCON 2",L7))</formula>
    </cfRule>
    <cfRule type="expression" priority="16" dxfId="11">
      <formula>ISNUMBER(SEARCH("QS-OK",L7))</formula>
    </cfRule>
  </conditionalFormatting>
  <conditionalFormatting sqref="M7:M17">
    <cfRule type="cellIs" priority="7" operator="lessThan" dxfId="0">
      <formula>0</formula>
    </cfRule>
    <cfRule type="cellIs" priority="8" operator="greaterThan" dxfId="9">
      <formula>0</formula>
    </cfRule>
    <cfRule type="cellIs" priority="9" operator="equal" dxfId="8">
      <formula>0</formula>
    </cfRule>
  </conditionalFormatting>
  <conditionalFormatting sqref="N7:N17">
    <cfRule type="expression" priority="2" dxfId="7">
      <formula>ISNUMBER(SEARCH("FLAG",N7))</formula>
    </cfRule>
    <cfRule type="expression" priority="3" dxfId="6">
      <formula>ISNUMBER(SEARCH("DEFCON 3",N7))</formula>
    </cfRule>
    <cfRule type="expression" priority="4" dxfId="5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0" sqref="F30"/>
    </sheetView>
  </sheetViews>
  <sheetFormatPr baseColWidth="10" defaultColWidth="9.140625" defaultRowHeight="15"/>
  <cols>
    <col width="2" customWidth="1" style="28" min="1" max="1"/>
    <col width="7" customWidth="1" style="28" min="2" max="2"/>
    <col width="18" customWidth="1" style="28" min="3" max="3"/>
    <col width="13" customWidth="1" style="28" min="4" max="6"/>
    <col width="16" customWidth="1" style="28" min="7" max="9"/>
  </cols>
  <sheetData>
    <row r="1" ht="6" customHeight="1" s="28"/>
    <row r="2" ht="27.75" customHeight="1" s="28">
      <c r="B2" s="35" t="inlineStr">
        <is>
          <t>🦅  DYNASTIEDEPOT – QUICKSCREEN AMPEL  |  17.04.2026 (v3.7)</t>
        </is>
      </c>
    </row>
    <row r="3" ht="27" customHeight="1" s="28">
      <c r="B3" s="27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28"/>
    <row r="5" ht="30" customHeight="1" s="28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38.1" customHeight="1" s="28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38.1" customHeight="1" s="28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</t>
        </is>
      </c>
    </row>
    <row r="8" ht="38.1" customHeight="1" s="28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🟢 HALTEN</t>
        </is>
      </c>
      <c r="I8" s="20" t="inlineStr">
        <is>
          <t>Wide 9/10 ✅. P/FCF attraktiv.</t>
        </is>
      </c>
    </row>
    <row r="9" ht="38.1" customHeight="1" s="28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 – nächster !Analysiere.</t>
        </is>
      </c>
    </row>
    <row r="10" ht="38.1" customHeight="1" s="28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</t>
        </is>
      </c>
    </row>
    <row r="11" ht="38.1" customHeight="1" s="28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3, v3.7 +2). FLAG aktiv (Score-basiert). Tariff-Check 15.04.: CN 14.7% Risk-Map. Sparrate 0€.</t>
        </is>
      </c>
    </row>
    <row r="12" ht="38.1" customHeight="1" s="28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(66, v3.7 −2). Moat 19/20 Wide. v3.7 Fix-1: Fwd P/E + P/FCF Subscore-Deckel. Volle Rate 33,53€.</t>
        </is>
      </c>
    </row>
    <row r="13" ht="38.1" customHeight="1" s="28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 Re-Score: 69→68 (−1). DEFCON 4 bestätigt (Screener-Exception ROIC 24% &gt;&gt; WACC). Volle Rate 33,53€.</t>
        </is>
      </c>
    </row>
    <row r="14" ht="38.1" customHeight="1" s="28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 (74, unverändert). SaaS Wide Moat. Volle Rate 33,53€.</t>
        </is>
      </c>
    </row>
    <row r="15" ht="38.1" customHeight="1" s="28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38.1" customHeight="1" s="28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🟠 DEFCON 2 / ⏸ D2-SOCKELBETRAG</t>
        </is>
      </c>
      <c r="I16" s="20" t="inlineStr">
        <is>
          <t>Score 63 (v3.7 −4). DEFCON 3→2 (Fix-2 OpM + Fix-3 Sell-Ratio). Sockelbetrag 16,76€. Re-Analyse 23.04.</t>
        </is>
      </c>
    </row>
    <row r="19" ht="15.75" customHeight="1" s="28">
      <c r="B19" s="36" t="inlineStr">
        <is>
          <t>LEGENDE</t>
        </is>
      </c>
      <c r="C19" s="25" t="n"/>
      <c r="D19" s="25" t="n"/>
      <c r="E19" s="25" t="n"/>
      <c r="F19" s="25" t="n"/>
      <c r="G19" s="25" t="n"/>
      <c r="H19" s="25" t="n"/>
      <c r="I19" s="26" t="n"/>
    </row>
    <row r="20" ht="13.5" customHeight="1" s="28">
      <c r="B20" s="24" t="inlineStr">
        <is>
          <t>🟢 HALTEN: Alle 3 Filter grün + kein FLAG → Sparplan aktiv</t>
        </is>
      </c>
      <c r="C20" s="25" t="n"/>
      <c r="D20" s="25" t="n"/>
      <c r="E20" s="25" t="n"/>
      <c r="F20" s="25" t="n"/>
      <c r="G20" s="25" t="n"/>
      <c r="H20" s="25" t="n"/>
      <c r="I20" s="26" t="n"/>
    </row>
    <row r="21" ht="13.5" customHeight="1" s="28">
      <c r="B21" s="24" t="inlineStr">
        <is>
          <t>🟡 PRÜFEN: Mind. 1 Filter gelb + kein FLAG → Halten, erhöhtes Monitoring</t>
        </is>
      </c>
      <c r="C21" s="25" t="n"/>
      <c r="D21" s="25" t="n"/>
      <c r="E21" s="25" t="n"/>
      <c r="F21" s="25" t="n"/>
      <c r="G21" s="25" t="n"/>
      <c r="H21" s="25" t="n"/>
      <c r="I21" s="26" t="n"/>
    </row>
    <row r="22" ht="13.5" customHeight="1" s="28">
      <c r="B22" s="24" t="inlineStr">
        <is>
          <t>🔴 EINGEFROREN: FLAG aktiv (MSFT, APH) → Sparrate = 0€, Re-Analyse Pflicht</t>
        </is>
      </c>
      <c r="C22" s="25" t="n"/>
      <c r="D22" s="25" t="n"/>
      <c r="E22" s="25" t="n"/>
      <c r="F22" s="25" t="n"/>
      <c r="G22" s="25" t="n"/>
      <c r="H22" s="25" t="n"/>
      <c r="I22" s="26" t="n"/>
    </row>
    <row r="23" ht="13.5" customHeight="1" s="28">
      <c r="B23" s="24" t="inlineStr">
        <is>
          <t>Exception-Logik: COST (GM strukturell ~13%), BRK.B (P/B statt P/FCF) → zählen als grün | Stand: 15.04.2026</t>
        </is>
      </c>
      <c r="C23" s="25" t="n"/>
      <c r="D23" s="25" t="n"/>
      <c r="E23" s="25" t="n"/>
      <c r="F23" s="25" t="n"/>
      <c r="G23" s="25" t="n"/>
      <c r="H23" s="25" t="n"/>
      <c r="I23" s="26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2026-04-02T15:20:51Z</dcterms:created>
  <dcterms:modified xsi:type="dcterms:W3CDTF">2026-04-17T09:21:33Z</dcterms:modified>
  <cp:lastModifiedBy>Tobias Kowalski</cp:lastModifiedBy>
  <cp:revision>0</cp:revision>
</cp:coreProperties>
</file>