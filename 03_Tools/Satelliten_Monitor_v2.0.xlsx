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atelliten Monitor" sheetId="1" state="visible" r:id="rId3"/>
    <sheet name="QuickScreen Amp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<sst xmlns="http://schemas.openxmlformats.org/spreadsheetml/2006/main" count="314" uniqueCount="219">
  <si>
    <t xml:space="preserve">🦅  DYNASTIEDEPOT – SATELLITEN MONITOR v2.0</t>
  </si>
  <si>
    <t xml:space="preserve">Stand: 15.04.2026  |  Broker: Scalable Capital  |  Slots: 11/11</t>
  </si>
  <si>
    <t xml:space="preserve">Sparrate Satelliten: 285 €/Monat  |  D4-Rate: ~35,63€  |  D3-Sockelbetrag: ~17,81€</t>
  </si>
  <si>
    <t xml:space="preserve">Vollanalysiert: 5 / 11  |  Geschätzt: 6 / 11</t>
  </si>
  <si>
    <t xml:space="preserve">Eingefroren: MSFT (FLAG+D2) | APH (FLAG) | ASML (D3 Sockelbetrag) | TMO (D3 Sockelbetrag)</t>
  </si>
  <si>
    <t xml:space="preserve">Ergebnis: 🟢 7 Aktiv  🟡 2 Sockelbetrag  🔴 2 Eingefroren</t>
  </si>
  <si>
    <t xml:space="preserve">Quellen: Vollanalyse [V] | Kalibrierungsanalyse [KB] | Schätzung [~] | Tariff-Check [TC]</t>
  </si>
  <si>
    <t xml:space="preserve">Ticker</t>
  </si>
  <si>
    <t xml:space="preserve">Name</t>
  </si>
  <si>
    <t xml:space="preserve">Sektor</t>
  </si>
  <si>
    <t xml:space="preserve">P/FCF</t>
  </si>
  <si>
    <t xml:space="preserve">ROIC %</t>
  </si>
  <si>
    <t xml:space="preserve">Gross Margin %</t>
  </si>
  <si>
    <t xml:space="preserve">Rev CAGR 3Y</t>
  </si>
  <si>
    <t xml:space="preserve">Moat (GuruFocus)</t>
  </si>
  <si>
    <t xml:space="preserve">P/B / Excpt.</t>
  </si>
  <si>
    <t xml:space="preserve">Exception</t>
  </si>
  <si>
    <t xml:space="preserve">DEFCON Score</t>
  </si>
  <si>
    <t xml:space="preserve">Δ Score</t>
  </si>
  <si>
    <t xml:space="preserve">Status / FLAG</t>
  </si>
  <si>
    <t xml:space="preserve">Sparrate
€/Monat</t>
  </si>
  <si>
    <t xml:space="preserve">Nächster
Check</t>
  </si>
  <si>
    <t xml:space="preserve">Score-
Datum</t>
  </si>
  <si>
    <t xml:space="preserve">Alter
(Tage)</t>
  </si>
  <si>
    <t xml:space="preserve">Hinweis</t>
  </si>
  <si>
    <t xml:space="preserve">ASML</t>
  </si>
  <si>
    <t xml:space="preserve">ASML Holding NV</t>
  </si>
  <si>
    <t xml:space="preserve">Halbleiter-Equip</t>
  </si>
  <si>
    <t xml:space="preserve">~42–50x [~]</t>
  </si>
  <si>
    <t xml:space="preserve">~35% [~]</t>
  </si>
  <si>
    <t xml:space="preserve">~51% [~]</t>
  </si>
  <si>
    <t xml:space="preserve">~16% [~]</t>
  </si>
  <si>
    <t xml:space="preserve">9 / Wide ✅</t>
  </si>
  <si>
    <t xml:space="preserve">n.a.</t>
  </si>
  <si>
    <t xml:space="preserve">Nein</t>
  </si>
  <si>
    <t xml:space="preserve">68 / DEFCON 3</t>
  </si>
  <si>
    <t xml:space="preserve">—</t>
  </si>
  <si>
    <t xml:space="preserve">🟡 DEFCON 3 / ⏸ Sockelbetrag 17,81€</t>
  </si>
  <si>
    <t xml:space="preserve">Q1 2026 Earnings 15.04.</t>
  </si>
  <si>
    <t xml:space="preserve">06.04.2026</t>
  </si>
  <si>
    <t xml:space="preserve">[V] DEFCON 3 (68/100). Moat 19/20 Wide Monopol, Fwd P/E 38x + P/FCF ~41x = Bewertungsprämie ohne Sicherheitsmarge. China-Revenue 14.7% → Kein Tariff-FLAG.</t>
  </si>
  <si>
    <t xml:space="preserve">AVGO</t>
  </si>
  <si>
    <t xml:space="preserve">Broadcom Inc.</t>
  </si>
  <si>
    <t xml:space="preserve">Halbleiter/SW</t>
  </si>
  <si>
    <t xml:space="preserve">~22x [KB]</t>
  </si>
  <si>
    <t xml:space="preserve">~65% [KB]</t>
  </si>
  <si>
    <t xml:space="preserve">~68% [KB]</t>
  </si>
  <si>
    <t xml:space="preserve">~21% [KB]</t>
  </si>
  <si>
    <t xml:space="preserve">Wide [KB]</t>
  </si>
  <si>
    <t xml:space="preserve">86 / DEFCON 4</t>
  </si>
  <si>
    <t xml:space="preserve">⚠️ Insider-Check ausstehend (verm. Post-Vesting) | Sparplan läuft</t>
  </si>
  <si>
    <t xml:space="preserve">Q3 FY26 Earnings Jun 2026</t>
  </si>
  <si>
    <t xml:space="preserve">25.03.2026</t>
  </si>
  <si>
    <t xml:space="preserve">[KB] Kalibrierungsanker 86/100. Fabless CapEx/OCF &lt;15%. AI-Backlog 3B. Insider-FLAG: 23M vermutl. Post-Vesting — OpenInsider-Check vor FLAG-Aktivierung Pflicht.</t>
  </si>
  <si>
    <t xml:space="preserve">MSFT</t>
  </si>
  <si>
    <t xml:space="preserve">Microsoft Corp.</t>
  </si>
  <si>
    <t xml:space="preserve">Software/Cloud</t>
  </si>
  <si>
    <t xml:space="preserve">~38x [~]</t>
  </si>
  <si>
    <t xml:space="preserve">~7.5% [V]</t>
  </si>
  <si>
    <t xml:space="preserve">~70% [KB]</t>
  </si>
  <si>
    <t xml:space="preserve">~13% [~]</t>
  </si>
  <si>
    <t xml:space="preserve">60 / DEFCON 2</t>
  </si>
  <si>
    <t xml:space="preserve">🔴 FLAG: CapEx/OCF &gt;60% | DEFCON 2 (60) | ⏸ Einfrieren</t>
  </si>
  <si>
    <t xml:space="preserve">29.04.2026 Q3 FY26 Earnings</t>
  </si>
  <si>
    <t xml:space="preserve">08.04.2026</t>
  </si>
  <si>
    <t xml:space="preserve">[V] Re-Analyse 08.04.: Score 77→60 (−17). CapEx/OCF Q2 FY26 83.6% (bereinigt ~63%). ROIC 7.5% &lt; WACC 13.35%. FLAG aktiv. Re-Check 29.04.: bereinigtes CapEx/OCF &lt;60% = FLAG-Auflösung möglich.</t>
  </si>
  <si>
    <t xml:space="preserve">COST</t>
  </si>
  <si>
    <t xml:space="preserve">Costco Wholesale</t>
  </si>
  <si>
    <t xml:space="preserve">Einzelhandel</t>
  </si>
  <si>
    <t xml:space="preserve">~50–55x [~]</t>
  </si>
  <si>
    <t xml:space="preserve">~30% [~]</t>
  </si>
  <si>
    <t xml:space="preserve">~13% ✅</t>
  </si>
  <si>
    <t xml:space="preserve">~10% [~]</t>
  </si>
  <si>
    <t xml:space="preserve">8 / Wide ✅</t>
  </si>
  <si>
    <t xml:space="preserve">Exception (GM)</t>
  </si>
  <si>
    <t xml:space="preserve">Ja</t>
  </si>
  <si>
    <t xml:space="preserve">~80 / DEFCON 4</t>
  </si>
  <si>
    <t xml:space="preserve">🟢 Halten</t>
  </si>
  <si>
    <t xml:space="preserve">28.05.2026</t>
  </si>
  <si>
    <t xml:space="preserve">[~] Exception: GM ~13% strukturell (Membership-Fee). P/FCF &gt; 45x Exception aktiv. !Analysiere ausstehend.</t>
  </si>
  <si>
    <t xml:space="preserve">RMS</t>
  </si>
  <si>
    <t xml:space="preserve">Hermès Intl. (EUR)</t>
  </si>
  <si>
    <t xml:space="preserve">Luxus</t>
  </si>
  <si>
    <t xml:space="preserve">~38x [V]</t>
  </si>
  <si>
    <t xml:space="preserve">~22% [V]</t>
  </si>
  <si>
    <t xml:space="preserve">~70% [V]</t>
  </si>
  <si>
    <t xml:space="preserve">Wide [~]</t>
  </si>
  <si>
    <t xml:space="preserve">71 / DEFCON 4</t>
  </si>
  <si>
    <t xml:space="preserve">H1 2026 Report</t>
  </si>
  <si>
    <t xml:space="preserve">09.04.2026</t>
  </si>
  <si>
    <t xml:space="preserve">[V] DEFCON 4 (71/100). Moat Wide (Hermès-Marke, Pricing Power). Non-US IFRS. EUR-denominiert. CapEx/OCF &lt;25%. Sparplan voll aktiv.</t>
  </si>
  <si>
    <t xml:space="preserve">VEEV</t>
  </si>
  <si>
    <t xml:space="preserve">Veeva Systems</t>
  </si>
  <si>
    <t xml:space="preserve">Healthcare-SW</t>
  </si>
  <si>
    <t xml:space="preserve">~45x [V]</t>
  </si>
  <si>
    <t xml:space="preserve">~25% [V]</t>
  </si>
  <si>
    <t xml:space="preserve">~74% [V]</t>
  </si>
  <si>
    <t xml:space="preserve">~17% [~]</t>
  </si>
  <si>
    <t xml:space="preserve">74 / DEFCON 4</t>
  </si>
  <si>
    <t xml:space="preserve">21.05.2026 Q1 FY27</t>
  </si>
  <si>
    <t xml:space="preserve">[V] DEFCON 4 (74/100). Asset-light SaaS. Moat Wide (Switching Costs Life-Science). CapEx/OCF &lt;10%. Sparplan voll aktiv.</t>
  </si>
  <si>
    <t xml:space="preserve">SU</t>
  </si>
  <si>
    <t xml:space="preserve">Schneider Electric (EUR)</t>
  </si>
  <si>
    <t xml:space="preserve">Industrials</t>
  </si>
  <si>
    <t xml:space="preserve">~20–25x [~]</t>
  </si>
  <si>
    <t xml:space="preserve">~12% [~]</t>
  </si>
  <si>
    <t xml:space="preserve">~40% [~]</t>
  </si>
  <si>
    <t xml:space="preserve">~11% [~]</t>
  </si>
  <si>
    <t xml:space="preserve">07.05.2026</t>
  </si>
  <si>
    <t xml:space="preserve">[~] EUR-denominiert. ROIC ~12% Grenzfall. Non-US IFRS. !Analysiere ausstehend. ADR: SBGSY.</t>
  </si>
  <si>
    <t xml:space="preserve">BRK.B</t>
  </si>
  <si>
    <t xml:space="preserve">Berkshire Hathaway B</t>
  </si>
  <si>
    <t xml:space="preserve">Holding/Vers.</t>
  </si>
  <si>
    <t xml:space="preserve">n.a.*</t>
  </si>
  <si>
    <t xml:space="preserve">~8% [~]</t>
  </si>
  <si>
    <t xml:space="preserve">~1,5–1,6x P/B</t>
  </si>
  <si>
    <t xml:space="preserve">30.06.2026</t>
  </si>
  <si>
    <t xml:space="preserve">[~] Exception: P/B ~1.5–1.6x ✅ (&lt;1.5x = Kaufsignal Buffett). Float &gt;70B. Holding-Float-Logik aktiv.</t>
  </si>
  <si>
    <t xml:space="preserve">V</t>
  </si>
  <si>
    <t xml:space="preserve">Visa Inc.</t>
  </si>
  <si>
    <t xml:space="preserve">Payments</t>
  </si>
  <si>
    <t xml:space="preserve">~28–32x [~]</t>
  </si>
  <si>
    <t xml:space="preserve">~45% [~]</t>
  </si>
  <si>
    <t xml:space="preserve">~80% [KB]</t>
  </si>
  <si>
    <t xml:space="preserve">22.07.2026</t>
  </si>
  <si>
    <t xml:space="preserve">[~] Asset-light Netz. ROIC ~45%, Moat 9/10 ✅. P/FCF ~30x attraktiv. !Analysiere ausstehend.</t>
  </si>
  <si>
    <t xml:space="preserve">TMO</t>
  </si>
  <si>
    <t xml:space="preserve">Thermo Fisher Sci.</t>
  </si>
  <si>
    <t xml:space="preserve">Life Sciences</t>
  </si>
  <si>
    <t xml:space="preserve">~29x [V]</t>
  </si>
  <si>
    <t xml:space="preserve">~9% [V]</t>
  </si>
  <si>
    <t xml:space="preserve">~4% [~]</t>
  </si>
  <si>
    <t xml:space="preserve">67 / DEFCON 3</t>
  </si>
  <si>
    <t xml:space="preserve">23.04.2026 Q1 Earnings</t>
  </si>
  <si>
    <t xml:space="preserve">07.04.2026</t>
  </si>
  <si>
    <t xml:space="preserve">[V] Re-Analyse 07.04.: Score 65→67 (+2). Net Debt/EBITDA 3.6x→2.57x ✅. Fwd P/E 27x→19.9x ✅. ROIC 2.6% &lt; WACC bleibt Schwäche. FCF −13.4% YoY. Trigger 23.04.: FCF &gt;.3B nötig.</t>
  </si>
  <si>
    <t xml:space="preserve">APH</t>
  </si>
  <si>
    <t xml:space="preserve">Amphenol Corp.</t>
  </si>
  <si>
    <t xml:space="preserve">Steckverbinder</t>
  </si>
  <si>
    <t xml:space="preserve">~25–30x [~]</t>
  </si>
  <si>
    <t xml:space="preserve">~22% [~]</t>
  </si>
  <si>
    <t xml:space="preserve">~34% [~]</t>
  </si>
  <si>
    <t xml:space="preserve">~18% [~]</t>
  </si>
  <si>
    <t xml:space="preserve">61 / DEFCON 3</t>
  </si>
  <si>
    <t xml:space="preserve">🔴 FLAG: Score 61 (DEFCON 3) | CN Revenue 14.7% Risk-Map [TC] | Sparrate 0€</t>
  </si>
  <si>
    <t xml:space="preserve">Q2 2025 Earnings 23.07.2025</t>
  </si>
  <si>
    <t xml:space="preserve">[V+TC] DEFCON 3 (61/100). FLAG aktiv (Score-basiert). Tariff-Check 15.04.: China Revenue 14.7% &lt; 15%-Schwelle → kein Revenue-FLAG. Supply-Chain CN/MY bestätigt (CEO Q1 2025 Call). Risk-Map-Notiz aktiv.</t>
  </si>
  <si>
    <t xml:space="preserve">Sparrate-Check</t>
  </si>
  <si>
    <t xml:space="preserve">Gesamt:</t>
  </si>
  <si>
    <t xml:space="preserve">→ muss = 285,00 €</t>
  </si>
  <si>
    <t xml:space="preserve">LEGENDE &amp; DATENQUALITÄT</t>
  </si>
  <si>
    <t xml:space="preserve">✅ Fetched Live – GuruFocus term-pages 02.04.2026: Moat-Scores ASML(9) COST(8) VEEV(8) V(9) MSFT(9)</t>
  </si>
  <si>
    <t xml:space="preserve">[KB] – Kalibrierungsanalyse: AVGO 86/100 (25.03.), TMO 65→67 (07.04.), ASML 68 (06.04.), MSFT 77→60 (08.04.), APH 61 (09.04.), RMS 71 (09.04.), VEEV 74 (09.04.)</t>
  </si>
  <si>
    <t xml:space="preserve">[~] – Schätzung Wissensbasis (plausibel) | [V] – Vollanalyse verifiziert | [TC] – Tariff-Check abgeschlossen 15.04.2026</t>
  </si>
  <si>
    <t xml:space="preserve">🔴 EINGEFROREN: MSFT (FLAG+D2, Score 60) | APH (FLAG, Score 61) — Sparrate 0€</t>
  </si>
  <si>
    <t xml:space="preserve">🟡 SOCKELBETRAG: ASML (D3, 68) | TMO (D3, 67) — Sparrate 17,81€/Monat</t>
  </si>
  <si>
    <t xml:space="preserve">🦅  DYNASTIEDEPOT – QUICKSCREEN AMPEL  |  15.04.2026</t>
  </si>
  <si>
    <t xml:space="preserve">Filter: P/FCF ≤35x 🟢 / ≤45x 🟡 / &gt;45x 🔴  |  ROIC ≥15% 🟢 / ≥12% 🟡 / &lt;12% 🔴  |  Moat Wide 🟢 / Narrow 🟡 / None 🔴  |  FLAG überschreibt immer → 🔴</t>
  </si>
  <si>
    <t xml:space="preserve">P/FCF Filter</t>
  </si>
  <si>
    <t xml:space="preserve">ROIC Filter</t>
  </si>
  <si>
    <t xml:space="preserve">Moat Filter</t>
  </si>
  <si>
    <t xml:space="preserve">FLAG</t>
  </si>
  <si>
    <t xml:space="preserve">Gesamt-Ampel</t>
  </si>
  <si>
    <t xml:space="preserve">Nächster Schritt</t>
  </si>
  <si>
    <t xml:space="preserve">Broadcom</t>
  </si>
  <si>
    <t xml:space="preserve">🟢 ~22x</t>
  </si>
  <si>
    <t xml:space="preserve">🟢 ~65%</t>
  </si>
  <si>
    <t xml:space="preserve">🟢 Wide</t>
  </si>
  <si>
    <t xml:space="preserve">✅</t>
  </si>
  <si>
    <t xml:space="preserve">🟢 HALTEN</t>
  </si>
  <si>
    <t xml:space="preserve">Sparplan aktiv. Kalibrierungsanker.</t>
  </si>
  <si>
    <t xml:space="preserve">Costco</t>
  </si>
  <si>
    <t xml:space="preserve">🟢 Exception</t>
  </si>
  <si>
    <t xml:space="preserve">🟢 ~30%</t>
  </si>
  <si>
    <t xml:space="preserve">Exception. Membership-Moat ✅.</t>
  </si>
  <si>
    <t xml:space="preserve">Visa</t>
  </si>
  <si>
    <t xml:space="preserve">🟢 ~28–32x</t>
  </si>
  <si>
    <t xml:space="preserve">🟢 ~45%</t>
  </si>
  <si>
    <t xml:space="preserve">Wide 9/10 ✅. P/FCF attraktiv.</t>
  </si>
  <si>
    <t xml:space="preserve">Schneider Elec.</t>
  </si>
  <si>
    <t xml:space="preserve">🟢 ~20–25x</t>
  </si>
  <si>
    <t xml:space="preserve">🟡 ~12%</t>
  </si>
  <si>
    <t xml:space="preserve">ROIC Grenzfall – nächster !Analysiere.</t>
  </si>
  <si>
    <t xml:space="preserve">Berkshire B</t>
  </si>
  <si>
    <t xml:space="preserve">Exception. P/B ~1,5–1,6x ✅.</t>
  </si>
  <si>
    <t xml:space="preserve">Amphenol</t>
  </si>
  <si>
    <t xml:space="preserve">🟢 ~25–30x</t>
  </si>
  <si>
    <t xml:space="preserve">🟢 ~22%</t>
  </si>
  <si>
    <t xml:space="preserve">🔴 FLAG (Score)</t>
  </si>
  <si>
    <t xml:space="preserve">🔴 FLAG / ⏸ EINGEFROREN</t>
  </si>
  <si>
    <t xml:space="preserve">Score 61 (DEFCON 3). FLAG aktiv. Tariff-Check done: CN 14.7% Risk-Map. Sparrate 0€. Re-Check Q2 Earnings 23.07.</t>
  </si>
  <si>
    <t xml:space="preserve">ASML Holding</t>
  </si>
  <si>
    <t xml:space="preserve">🟡 ~42–50x</t>
  </si>
  <si>
    <t xml:space="preserve">🟢 ~35%</t>
  </si>
  <si>
    <t xml:space="preserve">🟡 PRÜFEN</t>
  </si>
  <si>
    <t xml:space="preserve">DEFCON 3 (68). Moat 19/20 Wide. Bewertung P/FCF ~41x = Prämie ohne Marge. Sockelbetrag 15,83€. Re-Analyse Q1 2026.</t>
  </si>
  <si>
    <t xml:space="preserve">Hermès</t>
  </si>
  <si>
    <t xml:space="preserve">🟡 ~38x</t>
  </si>
  <si>
    <t xml:space="preserve">🟢 ~40%</t>
  </si>
  <si>
    <t xml:space="preserve">Vollanalyse 09.04.: Score 71, DEFCON 4. Moat Wide (Marke). Sparplan voll aktiv.</t>
  </si>
  <si>
    <t xml:space="preserve">🟡 ~45x</t>
  </si>
  <si>
    <t xml:space="preserve">🟡 ~18%</t>
  </si>
  <si>
    <t xml:space="preserve">Vollanalyse 09.04.: Score 74, DEFCON 4. SaaS Wide Moat. Sparplan voll aktiv.</t>
  </si>
  <si>
    <t xml:space="preserve">Microsoft</t>
  </si>
  <si>
    <t xml:space="preserve">🟡 ~35–38x</t>
  </si>
  <si>
    <t xml:space="preserve">🔴 ~7.5%</t>
  </si>
  <si>
    <t xml:space="preserve">🔴 FLAG</t>
  </si>
  <si>
    <t xml:space="preserve">🔴 FLAG / DEFCON 2 / ⏸ EINFRIEREN</t>
  </si>
  <si>
    <t xml:space="preserve">Score 60 (↓17). DEFCON 2. FLAG CapEx/OCF &gt;60% (bereinigt ~63%). ROIC 7.5% &lt; WACC 13.35%. Re-Check 29.04.</t>
  </si>
  <si>
    <t xml:space="preserve">Thermo Fisher</t>
  </si>
  <si>
    <t xml:space="preserve">🟢 ~28x</t>
  </si>
  <si>
    <t xml:space="preserve">🔴 ~9%</t>
  </si>
  <si>
    <t xml:space="preserve">🟡 DEFCON 3 / ⏸ SOCKELBETRAG</t>
  </si>
  <si>
    <t xml:space="preserve">Score 67 (↑2). ROIC&lt;WACC. FCF −13.4% YoY. Sockelbetrag 17,81€. Re-Analyse 23.04. Q1 Earnings.</t>
  </si>
  <si>
    <t xml:space="preserve">LEGENDE</t>
  </si>
  <si>
    <t xml:space="preserve">🟢 HALTEN: Alle 3 Filter grün + kein FLAG → Sparplan aktiv</t>
  </si>
  <si>
    <t xml:space="preserve">🟡 PRÜFEN: Mind. 1 Filter gelb + kein FLAG → Halten, erhöhtes Monitoring</t>
  </si>
  <si>
    <t xml:space="preserve">🔴 EINGEFROREN: FLAG aktiv (MSFT, APH) → Sparrate = 0€, Re-Analyse Pflicht</t>
  </si>
  <si>
    <t xml:space="preserve">Exception-Logik: COST (GM strukturell ~13%), BRK.B (P/B statt P/FCF) → zählen als grün | Stand: 15.04.2026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</si>
</sst>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€#,##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Calibri"/>
      <family val="0"/>
      <charset val="1"/>
    </font>
    <font>
      <sz val="9"/>
      <color rgb="FFFFFFFF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9"/>
      <name val="Calibri"/>
      <family val="0"/>
      <charset val="1"/>
    </font>
    <font>
      <sz val="9"/>
      <name val="Calibri"/>
      <family val="0"/>
      <charset val="1"/>
    </font>
    <font>
      <sz val="9"/>
      <color rgb="FF0000FF"/>
      <name val="Calibri"/>
      <family val="0"/>
      <charset val="1"/>
    </font>
    <font>
      <sz val="9"/>
      <color rgb="FF000000"/>
      <name val="Calibri"/>
      <family val="0"/>
      <charset val="1"/>
    </font>
    <font>
      <i val="true"/>
      <sz val="9"/>
      <color rgb="FF888888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8"/>
      <color rgb="FF444444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2E4B7C"/>
      </patternFill>
    </fill>
    <fill>
      <patternFill patternType="solid">
        <fgColor rgb="FF2E4B7C"/>
        <bgColor rgb="FF1F3864"/>
      </patternFill>
    </fill>
    <fill>
      <patternFill patternType="solid">
        <fgColor rgb="FFF2F2F2"/>
        <bgColor rgb="FFF5F5F5"/>
      </patternFill>
    </fill>
    <fill>
      <patternFill patternType="solid">
        <fgColor rgb="FFFAFAFA"/>
        <bgColor rgb="FFFFFFFF"/>
      </patternFill>
    </fill>
    <fill>
      <patternFill patternType="solid">
        <fgColor rgb="FFFFF2CC"/>
        <bgColor rgb="FFFCE4D6"/>
      </patternFill>
    </fill>
    <fill>
      <patternFill patternType="solid">
        <fgColor rgb="FFEBF3FF"/>
        <bgColor rgb="FFF2F2F2"/>
      </patternFill>
    </fill>
    <fill>
      <patternFill patternType="solid">
        <fgColor rgb="FFF5F5F5"/>
        <bgColor rgb="FFF2F2F2"/>
      </patternFill>
    </fill>
    <fill>
      <patternFill patternType="solid">
        <fgColor rgb="FFE2EFDA"/>
        <bgColor rgb="FFD6F0DA"/>
      </patternFill>
    </fill>
    <fill>
      <patternFill patternType="solid">
        <fgColor rgb="FFFFE0E0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7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ont>
        <b val="1"/>
        <color rgb="FFCC0000"/>
        <sz val="9"/>
      </font>
      <fill>
        <patternFill>
          <bgColor rgb="FFFFE0E0"/>
        </patternFill>
      </fill>
    </dxf>
    <dxf>
      <font>
        <b val="1"/>
        <sz val="9"/>
      </font>
      <fill>
        <patternFill>
          <bgColor rgb="FFFFF2CC"/>
        </patternFill>
      </fill>
    </dxf>
    <dxf>
      <font>
        <b val="1"/>
        <sz val="9"/>
      </font>
      <fill>
        <patternFill>
          <bgColor rgb="FFE2EFDA"/>
        </patternFill>
      </fill>
    </dxf>
    <dxf>
      <fill>
        <patternFill>
          <bgColor rgb="FFFFD0D0"/>
        </patternFill>
      </fill>
    </dxf>
    <dxf>
      <fill>
        <patternFill>
          <bgColor rgb="FFD6F0DA"/>
        </patternFill>
      </fill>
    </dxf>
    <dxf>
      <font>
        <b val="1"/>
        <color rgb="FFCC0000"/>
        <sz val="9"/>
      </font>
      <fill>
        <patternFill>
          <bgColor rgb="FFFFD0D0"/>
        </patternFill>
      </fill>
    </dxf>
    <dxf>
      <font>
        <b val="1"/>
        <color rgb="FF006600"/>
        <sz val="9"/>
      </font>
      <fill>
        <patternFill>
          <bgColor rgb="FFD6F0DA"/>
        </patternFill>
      </fill>
    </dxf>
    <dxf>
      <fill>
        <patternFill>
          <bgColor rgb="FFF5F5F5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BF3FF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2CC"/>
      <rgbColor rgb="FFEBF3FF"/>
      <rgbColor rgb="FF660066"/>
      <rgbColor rgb="FFFF8080"/>
      <rgbColor rgb="FF0066CC"/>
      <rgbColor rgb="FFFF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D6F0DA"/>
      <rgbColor rgb="FFFCE4D6"/>
      <rgbColor rgb="FFF2F2F2"/>
      <rgbColor rgb="FFF5F5F5"/>
      <rgbColor rgb="FFFAFAFA"/>
      <rgbColor rgb="FFFFD0D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4B7C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1:S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8"/>
    <col collapsed="false" customWidth="true" hidden="false" outlineLevel="0" max="12" min="12" style="0" width="14"/>
    <col collapsed="false" customWidth="true" hidden="false" outlineLevel="0" max="13" min="13" style="0" width="8"/>
    <col collapsed="false" customWidth="true" hidden="false" outlineLevel="0" max="14" min="14" style="0" width="18"/>
    <col collapsed="false" customWidth="true" hidden="false" outlineLevel="0" max="15" min="15" style="0" width="10"/>
    <col collapsed="false" customWidth="true" hidden="false" outlineLevel="0" max="16" min="16" style="0" width="13"/>
    <col collapsed="false" customWidth="true" hidden="false" outlineLevel="0" max="17" min="17" style="0" width="11"/>
    <col collapsed="false" customWidth="true" hidden="false" outlineLevel="0" max="18" min="18" style="0" width="9"/>
    <col collapsed="false" customWidth="true" hidden="false" outlineLevel="0" max="19" min="19" style="0" width="48"/>
  </cols>
  <sheetData>
    <row r="1" customFormat="false" ht="6" hidden="false" customHeight="true" outlineLevel="0" collapsed="false"/>
    <row r="2" customFormat="false" ht="27.75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2" t="s">
        <v>1</v>
      </c>
      <c r="P2" s="2"/>
      <c r="Q2" s="2"/>
      <c r="R2" s="2"/>
      <c r="S2" s="2"/>
    </row>
    <row r="3" customFormat="false" ht="27.75" hidden="false" customHeight="true" outlineLevel="0" collapsed="false">
      <c r="B3" s="3" t="s">
        <v>2</v>
      </c>
      <c r="C3" s="3"/>
      <c r="D3" s="3"/>
      <c r="E3" s="4" t="s">
        <v>3</v>
      </c>
      <c r="F3" s="4"/>
      <c r="G3" s="4"/>
      <c r="H3" s="4" t="s">
        <v>4</v>
      </c>
      <c r="I3" s="4"/>
      <c r="J3" s="4"/>
      <c r="K3" s="4" t="s">
        <v>5</v>
      </c>
      <c r="L3" s="4"/>
      <c r="M3" s="4"/>
      <c r="N3" s="5" t="s">
        <v>6</v>
      </c>
      <c r="O3" s="5"/>
      <c r="P3" s="5"/>
      <c r="Q3" s="5"/>
      <c r="R3" s="5"/>
      <c r="S3" s="5"/>
    </row>
    <row r="4" customFormat="false" ht="18" hidden="false" customHeight="true" outlineLevel="0" collapsed="false"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customFormat="false" ht="30" hidden="false" customHeight="true" outlineLevel="0" collapsed="false">
      <c r="B5" s="7" t="s">
        <v>7</v>
      </c>
      <c r="C5" s="7" t="s">
        <v>8</v>
      </c>
      <c r="D5" s="7" t="s">
        <v>9</v>
      </c>
      <c r="E5" s="7" t="s">
        <v>10</v>
      </c>
      <c r="F5" s="7" t="s">
        <v>11</v>
      </c>
      <c r="G5" s="7" t="s">
        <v>12</v>
      </c>
      <c r="H5" s="7" t="s">
        <v>13</v>
      </c>
      <c r="I5" s="7" t="s">
        <v>14</v>
      </c>
      <c r="J5" s="7" t="s">
        <v>15</v>
      </c>
      <c r="K5" s="7" t="s">
        <v>16</v>
      </c>
      <c r="L5" s="7" t="s">
        <v>17</v>
      </c>
      <c r="M5" s="7" t="s">
        <v>18</v>
      </c>
      <c r="N5" s="7" t="s">
        <v>19</v>
      </c>
      <c r="O5" s="7" t="s">
        <v>20</v>
      </c>
      <c r="P5" s="7" t="s">
        <v>21</v>
      </c>
      <c r="Q5" s="7" t="s">
        <v>22</v>
      </c>
      <c r="R5" s="7" t="s">
        <v>23</v>
      </c>
      <c r="S5" s="7" t="s">
        <v>24</v>
      </c>
    </row>
    <row r="6" customFormat="false" ht="3.75" hidden="false" customHeight="true" outlineLevel="0" collapsed="false"/>
    <row r="7" customFormat="false" ht="27.75" hidden="false" customHeight="true" outlineLevel="0" collapsed="false">
      <c r="B7" s="8" t="s">
        <v>25</v>
      </c>
      <c r="C7" s="9" t="s">
        <v>26</v>
      </c>
      <c r="D7" s="10" t="s">
        <v>27</v>
      </c>
      <c r="E7" s="11" t="s">
        <v>28</v>
      </c>
      <c r="F7" s="11" t="s">
        <v>29</v>
      </c>
      <c r="G7" s="11" t="s">
        <v>30</v>
      </c>
      <c r="H7" s="11" t="s">
        <v>31</v>
      </c>
      <c r="I7" s="10" t="s">
        <v>32</v>
      </c>
      <c r="J7" s="10" t="s">
        <v>33</v>
      </c>
      <c r="K7" s="10" t="s">
        <v>34</v>
      </c>
      <c r="L7" s="10" t="s">
        <v>35</v>
      </c>
      <c r="M7" s="10" t="s">
        <v>36</v>
      </c>
      <c r="N7" s="12" t="s">
        <v>37</v>
      </c>
      <c r="O7" s="13" t="n">
        <v>17.81</v>
      </c>
      <c r="P7" s="10" t="s">
        <v>38</v>
      </c>
      <c r="Q7" s="10" t="s">
        <v>39</v>
      </c>
      <c r="R7" s="10" t="n">
        <v>9</v>
      </c>
      <c r="S7" s="9" t="s">
        <v>40</v>
      </c>
    </row>
    <row r="8" customFormat="false" ht="27.75" hidden="false" customHeight="true" outlineLevel="0" collapsed="false">
      <c r="B8" s="14" t="s">
        <v>41</v>
      </c>
      <c r="C8" s="15" t="s">
        <v>42</v>
      </c>
      <c r="D8" s="16" t="s">
        <v>43</v>
      </c>
      <c r="E8" s="17" t="s">
        <v>44</v>
      </c>
      <c r="F8" s="17" t="s">
        <v>45</v>
      </c>
      <c r="G8" s="17" t="s">
        <v>46</v>
      </c>
      <c r="H8" s="17" t="s">
        <v>47</v>
      </c>
      <c r="I8" s="16" t="s">
        <v>48</v>
      </c>
      <c r="J8" s="16" t="s">
        <v>33</v>
      </c>
      <c r="K8" s="16" t="s">
        <v>34</v>
      </c>
      <c r="L8" s="16" t="s">
        <v>49</v>
      </c>
      <c r="M8" s="16" t="n">
        <v>0</v>
      </c>
      <c r="N8" s="18" t="s">
        <v>50</v>
      </c>
      <c r="O8" s="13" t="n">
        <v>35.63</v>
      </c>
      <c r="P8" s="16" t="s">
        <v>51</v>
      </c>
      <c r="Q8" s="16" t="s">
        <v>52</v>
      </c>
      <c r="R8" s="16" t="n">
        <v>21</v>
      </c>
      <c r="S8" s="15" t="s">
        <v>53</v>
      </c>
    </row>
    <row r="9" customFormat="false" ht="27.75" hidden="false" customHeight="true" outlineLevel="0" collapsed="false">
      <c r="B9" s="8" t="s">
        <v>54</v>
      </c>
      <c r="C9" s="9" t="s">
        <v>55</v>
      </c>
      <c r="D9" s="10" t="s">
        <v>56</v>
      </c>
      <c r="E9" s="11" t="s">
        <v>57</v>
      </c>
      <c r="F9" s="11" t="s">
        <v>58</v>
      </c>
      <c r="G9" s="11" t="s">
        <v>59</v>
      </c>
      <c r="H9" s="11" t="s">
        <v>60</v>
      </c>
      <c r="I9" s="10" t="s">
        <v>32</v>
      </c>
      <c r="J9" s="10" t="s">
        <v>33</v>
      </c>
      <c r="K9" s="10" t="s">
        <v>34</v>
      </c>
      <c r="L9" s="10" t="s">
        <v>61</v>
      </c>
      <c r="M9" s="10" t="n">
        <v>-17</v>
      </c>
      <c r="N9" s="19" t="s">
        <v>62</v>
      </c>
      <c r="O9" s="20" t="n">
        <v>0</v>
      </c>
      <c r="P9" s="10" t="s">
        <v>63</v>
      </c>
      <c r="Q9" s="10" t="s">
        <v>64</v>
      </c>
      <c r="R9" s="10" t="n">
        <v>7</v>
      </c>
      <c r="S9" s="9" t="s">
        <v>65</v>
      </c>
    </row>
    <row r="10" customFormat="false" ht="27.75" hidden="false" customHeight="true" outlineLevel="0" collapsed="false">
      <c r="B10" s="14" t="s">
        <v>66</v>
      </c>
      <c r="C10" s="15" t="s">
        <v>67</v>
      </c>
      <c r="D10" s="16" t="s">
        <v>68</v>
      </c>
      <c r="E10" s="17" t="s">
        <v>69</v>
      </c>
      <c r="F10" s="17" t="s">
        <v>70</v>
      </c>
      <c r="G10" s="17" t="s">
        <v>71</v>
      </c>
      <c r="H10" s="17" t="s">
        <v>72</v>
      </c>
      <c r="I10" s="16" t="s">
        <v>73</v>
      </c>
      <c r="J10" s="16" t="s">
        <v>74</v>
      </c>
      <c r="K10" s="16" t="s">
        <v>75</v>
      </c>
      <c r="L10" s="16" t="s">
        <v>76</v>
      </c>
      <c r="M10" s="16" t="s">
        <v>36</v>
      </c>
      <c r="N10" s="18" t="s">
        <v>77</v>
      </c>
      <c r="O10" s="13" t="n">
        <v>35.63</v>
      </c>
      <c r="P10" s="16" t="s">
        <v>78</v>
      </c>
      <c r="Q10" s="16" t="s">
        <v>36</v>
      </c>
      <c r="R10" s="16" t="s">
        <v>36</v>
      </c>
      <c r="S10" s="15" t="s">
        <v>79</v>
      </c>
    </row>
    <row r="11" customFormat="false" ht="27.75" hidden="false" customHeight="true" outlineLevel="0" collapsed="false">
      <c r="B11" s="8" t="s">
        <v>80</v>
      </c>
      <c r="C11" s="9" t="s">
        <v>81</v>
      </c>
      <c r="D11" s="10" t="s">
        <v>82</v>
      </c>
      <c r="E11" s="11" t="s">
        <v>83</v>
      </c>
      <c r="F11" s="11" t="s">
        <v>84</v>
      </c>
      <c r="G11" s="11" t="s">
        <v>85</v>
      </c>
      <c r="H11" s="11" t="s">
        <v>60</v>
      </c>
      <c r="I11" s="10" t="s">
        <v>86</v>
      </c>
      <c r="J11" s="10" t="s">
        <v>33</v>
      </c>
      <c r="K11" s="10" t="s">
        <v>34</v>
      </c>
      <c r="L11" s="10" t="s">
        <v>87</v>
      </c>
      <c r="M11" s="10" t="s">
        <v>36</v>
      </c>
      <c r="N11" s="12" t="s">
        <v>77</v>
      </c>
      <c r="O11" s="13" t="n">
        <v>35.63</v>
      </c>
      <c r="P11" s="10" t="s">
        <v>88</v>
      </c>
      <c r="Q11" s="10" t="s">
        <v>89</v>
      </c>
      <c r="R11" s="10" t="n">
        <v>6</v>
      </c>
      <c r="S11" s="9" t="s">
        <v>90</v>
      </c>
    </row>
    <row r="12" customFormat="false" ht="27.75" hidden="false" customHeight="true" outlineLevel="0" collapsed="false">
      <c r="B12" s="14" t="s">
        <v>91</v>
      </c>
      <c r="C12" s="15" t="s">
        <v>92</v>
      </c>
      <c r="D12" s="16" t="s">
        <v>93</v>
      </c>
      <c r="E12" s="17" t="s">
        <v>94</v>
      </c>
      <c r="F12" s="17" t="s">
        <v>95</v>
      </c>
      <c r="G12" s="17" t="s">
        <v>96</v>
      </c>
      <c r="H12" s="17" t="s">
        <v>97</v>
      </c>
      <c r="I12" s="16" t="s">
        <v>73</v>
      </c>
      <c r="J12" s="16" t="s">
        <v>33</v>
      </c>
      <c r="K12" s="16" t="s">
        <v>34</v>
      </c>
      <c r="L12" s="16" t="s">
        <v>98</v>
      </c>
      <c r="M12" s="16" t="s">
        <v>36</v>
      </c>
      <c r="N12" s="12" t="s">
        <v>77</v>
      </c>
      <c r="O12" s="13" t="n">
        <v>35.63</v>
      </c>
      <c r="P12" s="16" t="s">
        <v>99</v>
      </c>
      <c r="Q12" s="16" t="s">
        <v>89</v>
      </c>
      <c r="R12" s="16" t="n">
        <v>6</v>
      </c>
      <c r="S12" s="15" t="s">
        <v>100</v>
      </c>
    </row>
    <row r="13" customFormat="false" ht="27.75" hidden="false" customHeight="true" outlineLevel="0" collapsed="false">
      <c r="B13" s="8" t="s">
        <v>101</v>
      </c>
      <c r="C13" s="9" t="s">
        <v>102</v>
      </c>
      <c r="D13" s="10" t="s">
        <v>103</v>
      </c>
      <c r="E13" s="11" t="s">
        <v>104</v>
      </c>
      <c r="F13" s="11" t="s">
        <v>105</v>
      </c>
      <c r="G13" s="11" t="s">
        <v>106</v>
      </c>
      <c r="H13" s="11" t="s">
        <v>107</v>
      </c>
      <c r="I13" s="10" t="s">
        <v>86</v>
      </c>
      <c r="J13" s="10" t="s">
        <v>33</v>
      </c>
      <c r="K13" s="10" t="s">
        <v>34</v>
      </c>
      <c r="L13" s="10" t="s">
        <v>76</v>
      </c>
      <c r="M13" s="10" t="s">
        <v>36</v>
      </c>
      <c r="N13" s="18" t="s">
        <v>77</v>
      </c>
      <c r="O13" s="13" t="n">
        <v>35.63</v>
      </c>
      <c r="P13" s="10" t="s">
        <v>108</v>
      </c>
      <c r="Q13" s="10" t="s">
        <v>36</v>
      </c>
      <c r="R13" s="10" t="s">
        <v>36</v>
      </c>
      <c r="S13" s="9" t="s">
        <v>109</v>
      </c>
    </row>
    <row r="14" customFormat="false" ht="27.75" hidden="false" customHeight="true" outlineLevel="0" collapsed="false">
      <c r="B14" s="14" t="s">
        <v>110</v>
      </c>
      <c r="C14" s="15" t="s">
        <v>111</v>
      </c>
      <c r="D14" s="16" t="s">
        <v>112</v>
      </c>
      <c r="E14" s="17" t="s">
        <v>16</v>
      </c>
      <c r="F14" s="17" t="s">
        <v>16</v>
      </c>
      <c r="G14" s="17" t="s">
        <v>113</v>
      </c>
      <c r="H14" s="17" t="s">
        <v>114</v>
      </c>
      <c r="I14" s="16" t="s">
        <v>86</v>
      </c>
      <c r="J14" s="16" t="s">
        <v>115</v>
      </c>
      <c r="K14" s="16" t="s">
        <v>75</v>
      </c>
      <c r="L14" s="16" t="s">
        <v>76</v>
      </c>
      <c r="M14" s="16" t="s">
        <v>36</v>
      </c>
      <c r="N14" s="18" t="s">
        <v>77</v>
      </c>
      <c r="O14" s="13" t="n">
        <v>35.63</v>
      </c>
      <c r="P14" s="16" t="s">
        <v>116</v>
      </c>
      <c r="Q14" s="16" t="s">
        <v>36</v>
      </c>
      <c r="R14" s="16" t="s">
        <v>36</v>
      </c>
      <c r="S14" s="15" t="s">
        <v>117</v>
      </c>
    </row>
    <row r="15" customFormat="false" ht="27.75" hidden="false" customHeight="true" outlineLevel="0" collapsed="false">
      <c r="B15" s="8" t="s">
        <v>118</v>
      </c>
      <c r="C15" s="9" t="s">
        <v>119</v>
      </c>
      <c r="D15" s="10" t="s">
        <v>120</v>
      </c>
      <c r="E15" s="11" t="s">
        <v>121</v>
      </c>
      <c r="F15" s="11" t="s">
        <v>122</v>
      </c>
      <c r="G15" s="11" t="s">
        <v>123</v>
      </c>
      <c r="H15" s="11" t="s">
        <v>105</v>
      </c>
      <c r="I15" s="10" t="s">
        <v>32</v>
      </c>
      <c r="J15" s="10" t="s">
        <v>33</v>
      </c>
      <c r="K15" s="10" t="s">
        <v>34</v>
      </c>
      <c r="L15" s="10" t="s">
        <v>76</v>
      </c>
      <c r="M15" s="10" t="s">
        <v>36</v>
      </c>
      <c r="N15" s="18" t="s">
        <v>77</v>
      </c>
      <c r="O15" s="13" t="n">
        <v>35.63</v>
      </c>
      <c r="P15" s="10" t="s">
        <v>124</v>
      </c>
      <c r="Q15" s="10" t="s">
        <v>36</v>
      </c>
      <c r="R15" s="10" t="s">
        <v>36</v>
      </c>
      <c r="S15" s="9" t="s">
        <v>125</v>
      </c>
    </row>
    <row r="16" customFormat="false" ht="27.75" hidden="false" customHeight="true" outlineLevel="0" collapsed="false">
      <c r="B16" s="14" t="s">
        <v>126</v>
      </c>
      <c r="C16" s="15" t="s">
        <v>127</v>
      </c>
      <c r="D16" s="16" t="s">
        <v>128</v>
      </c>
      <c r="E16" s="17" t="s">
        <v>129</v>
      </c>
      <c r="F16" s="17" t="s">
        <v>130</v>
      </c>
      <c r="G16" s="17" t="s">
        <v>122</v>
      </c>
      <c r="H16" s="17" t="s">
        <v>131</v>
      </c>
      <c r="I16" s="16" t="s">
        <v>86</v>
      </c>
      <c r="J16" s="16" t="s">
        <v>33</v>
      </c>
      <c r="K16" s="16" t="s">
        <v>34</v>
      </c>
      <c r="L16" s="16" t="s">
        <v>132</v>
      </c>
      <c r="M16" s="16" t="n">
        <v>-5</v>
      </c>
      <c r="N16" s="12" t="s">
        <v>37</v>
      </c>
      <c r="O16" s="20" t="n">
        <v>17.81</v>
      </c>
      <c r="P16" s="16" t="s">
        <v>133</v>
      </c>
      <c r="Q16" s="16" t="s">
        <v>134</v>
      </c>
      <c r="R16" s="16" t="n">
        <v>8</v>
      </c>
      <c r="S16" s="15" t="s">
        <v>135</v>
      </c>
    </row>
    <row r="17" customFormat="false" ht="27.75" hidden="false" customHeight="true" outlineLevel="0" collapsed="false">
      <c r="B17" s="8" t="s">
        <v>136</v>
      </c>
      <c r="C17" s="9" t="s">
        <v>137</v>
      </c>
      <c r="D17" s="10" t="s">
        <v>138</v>
      </c>
      <c r="E17" s="11" t="s">
        <v>139</v>
      </c>
      <c r="F17" s="11" t="s">
        <v>140</v>
      </c>
      <c r="G17" s="11" t="s">
        <v>141</v>
      </c>
      <c r="H17" s="11" t="s">
        <v>142</v>
      </c>
      <c r="I17" s="10" t="s">
        <v>86</v>
      </c>
      <c r="J17" s="10" t="s">
        <v>33</v>
      </c>
      <c r="K17" s="10" t="s">
        <v>34</v>
      </c>
      <c r="L17" s="10" t="s">
        <v>143</v>
      </c>
      <c r="M17" s="10" t="s">
        <v>36</v>
      </c>
      <c r="N17" s="18" t="s">
        <v>144</v>
      </c>
      <c r="O17" s="13" t="n">
        <v>0</v>
      </c>
      <c r="P17" s="10" t="s">
        <v>145</v>
      </c>
      <c r="Q17" s="10" t="s">
        <v>89</v>
      </c>
      <c r="R17" s="10" t="n">
        <v>6</v>
      </c>
      <c r="S17" s="9" t="s">
        <v>146</v>
      </c>
    </row>
    <row r="18" customFormat="false" ht="6" hidden="false" customHeight="true" outlineLevel="0" collapsed="false"/>
    <row r="19" customFormat="false" ht="19.5" hidden="false" customHeight="true" outlineLevel="0" collapsed="false">
      <c r="B19" s="21" t="s">
        <v>147</v>
      </c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2" t="s">
        <v>148</v>
      </c>
      <c r="N19" s="23" t="s">
        <v>149</v>
      </c>
      <c r="O19" s="24" t="n">
        <f aca="false">SUM(O7:O17)</f>
        <v>285.03</v>
      </c>
    </row>
    <row r="21" customFormat="false" ht="15.75" hidden="false" customHeight="true" outlineLevel="0" collapsed="false">
      <c r="B21" s="25" t="s">
        <v>150</v>
      </c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</row>
    <row r="22" customFormat="false" ht="13.5" hidden="false" customHeight="true" outlineLevel="0" collapsed="false">
      <c r="B22" s="26" t="s">
        <v>151</v>
      </c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</row>
    <row r="23" customFormat="false" ht="13.5" hidden="false" customHeight="true" outlineLevel="0" collapsed="false">
      <c r="B23" s="26" t="s">
        <v>152</v>
      </c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</row>
    <row r="24" customFormat="false" ht="13.5" hidden="false" customHeight="true" outlineLevel="0" collapsed="false">
      <c r="B24" s="26" t="s">
        <v>153</v>
      </c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</row>
    <row r="25" customFormat="false" ht="13.5" hidden="false" customHeight="true" outlineLevel="0" collapsed="false">
      <c r="B25" s="26" t="s">
        <v>154</v>
      </c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</row>
    <row r="26" customFormat="false" ht="15" hidden="false" customHeight="true" outlineLevel="0" collapsed="false">
      <c r="B26" s="26" t="s">
        <v>155</v>
      </c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</row>
  </sheetData>
  <mergeCells count="14">
    <mergeCell ref="B2:N2"/>
    <mergeCell ref="O2:S2"/>
    <mergeCell ref="B3:D3"/>
    <mergeCell ref="E3:G3"/>
    <mergeCell ref="H3:J3"/>
    <mergeCell ref="K3:M3"/>
    <mergeCell ref="N3:S3"/>
    <mergeCell ref="B19:L19"/>
    <mergeCell ref="B21:S21"/>
    <mergeCell ref="B22:S22"/>
    <mergeCell ref="B23:S23"/>
    <mergeCell ref="B24:S24"/>
    <mergeCell ref="B25:S25"/>
    <mergeCell ref="B26:S26"/>
  </mergeCells>
  <conditionalFormatting sqref="N7:N17">
    <cfRule type="expression" priority="2" aboveAverage="0" equalAverage="0" bottom="0" percent="0" rank="0" text="" dxfId="0">
      <formula>ISNUMBER(SEARCH("FLAG",N7))</formula>
    </cfRule>
    <cfRule type="expression" priority="3" aboveAverage="0" equalAverage="0" bottom="0" percent="0" rank="0" text="" dxfId="1">
      <formula>ISNUMBER(SEARCH("DEFCON 3",N7))</formula>
    </cfRule>
    <cfRule type="expression" priority="4" aboveAverage="0" equalAverage="0" bottom="0" percent="0" rank="0" text="" dxfId="2">
      <formula>ISNUMBER(SEARCH("Halten",N7))</formula>
    </cfRule>
  </conditionalFormatting>
  <conditionalFormatting sqref="O7:O17">
    <cfRule type="cellIs" priority="5" operator="equal" aboveAverage="0" equalAverage="0" bottom="0" percent="0" rank="0" text="" dxfId="3">
      <formula>0</formula>
    </cfRule>
    <cfRule type="cellIs" priority="6" operator="greaterThan" aboveAverage="0" equalAverage="0" bottom="0" percent="0" rank="0" text="" dxfId="4">
      <formula>0</formula>
    </cfRule>
  </conditionalFormatting>
  <conditionalFormatting sqref="M7:M17">
    <cfRule type="cellIs" priority="7" operator="lessThan" aboveAverage="0" equalAverage="0" bottom="0" percent="0" rank="0" text="" dxfId="5">
      <formula>0</formula>
    </cfRule>
    <cfRule type="cellIs" priority="8" operator="greaterThan" aboveAverage="0" equalAverage="0" bottom="0" percent="0" rank="0" text="" dxfId="6">
      <formula>0</formula>
    </cfRule>
    <cfRule type="cellIs" priority="9" operator="equal" aboveAverage="0" equalAverage="0" bottom="0" percent="0" rank="0" text="" dxfId="7">
      <formula>0</formula>
    </cfRule>
  </conditionalFormatting>
  <conditionalFormatting sqref="R7:R17">
    <cfRule type="cellIs" priority="10" operator="lessThanOrEqual" aboveAverage="0" equalAverage="0" bottom="0" percent="0" rank="0" text="" dxfId="4">
      <formula>30</formula>
    </cfRule>
    <cfRule type="cellIs" priority="11" operator="between" aboveAverage="0" equalAverage="0" bottom="0" percent="0" rank="0" text="" dxfId="8">
      <formula>31</formula>
      <formula>90</formula>
    </cfRule>
    <cfRule type="cellIs" priority="12" operator="greaterThan" aboveAverage="0" equalAverage="0" bottom="0" percent="0" rank="0" text="" dxfId="5">
      <formula>90</formula>
    </cfRule>
  </conditionalFormatting>
  <conditionalFormatting sqref="L7:L17">
    <cfRule type="expression" priority="13" aboveAverage="0" equalAverage="0" bottom="0" percent="0" rank="0" text="" dxfId="4">
      <formula>ISNUMBER(SEARCH("DEFCON 4",L7))</formula>
    </cfRule>
    <cfRule type="expression" priority="14" aboveAverage="0" equalAverage="0" bottom="0" percent="0" rank="0" text="" dxfId="8">
      <formula>ISNUMBER(SEARCH("DEFCON 3",L7))</formula>
    </cfRule>
    <cfRule type="expression" priority="15" aboveAverage="0" equalAverage="0" bottom="0" percent="0" rank="0" text="" dxfId="9">
      <formula>ISNUMBER(SEARCH("DEFCON 2",L7))</formula>
    </cfRule>
    <cfRule type="expression" priority="16" aboveAverage="0" equalAverage="0" bottom="0" percent="0" rank="0" text="" dxfId="10">
      <formula>ISNUMBER(SEARCH("QS-OK",L7))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C0000"/>
    <pageSetUpPr fitToPage="false"/>
  </sheetPr>
  <dimension ref="B1:I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18"/>
    <col collapsed="false" customWidth="true" hidden="false" outlineLevel="0" max="6" min="4" style="0" width="13"/>
    <col collapsed="false" customWidth="true" hidden="false" outlineLevel="0" max="9" min="7" style="0" width="16"/>
  </cols>
  <sheetData>
    <row r="1" customFormat="false" ht="6" hidden="false" customHeight="true" outlineLevel="0" collapsed="false"/>
    <row r="2" customFormat="false" ht="27.75" hidden="false" customHeight="true" outlineLevel="0" collapsed="false">
      <c r="B2" s="27" t="s">
        <v>156</v>
      </c>
      <c r="C2" s="27"/>
      <c r="D2" s="27"/>
      <c r="E2" s="27"/>
      <c r="F2" s="27"/>
      <c r="G2" s="27"/>
      <c r="H2" s="27"/>
      <c r="I2" s="27"/>
    </row>
    <row r="3" customFormat="false" ht="18" hidden="false" customHeight="true" outlineLevel="0" collapsed="false">
      <c r="B3" s="3" t="s">
        <v>157</v>
      </c>
      <c r="C3" s="3"/>
      <c r="D3" s="3"/>
      <c r="E3" s="3"/>
      <c r="F3" s="3"/>
      <c r="G3" s="3"/>
      <c r="H3" s="3"/>
      <c r="I3" s="3"/>
    </row>
    <row r="4" customFormat="false" ht="6" hidden="false" customHeight="true" outlineLevel="0" collapsed="false"/>
    <row r="5" customFormat="false" ht="30" hidden="false" customHeight="true" outlineLevel="0" collapsed="false">
      <c r="B5" s="7" t="s">
        <v>7</v>
      </c>
      <c r="C5" s="7" t="s">
        <v>8</v>
      </c>
      <c r="D5" s="7" t="s">
        <v>158</v>
      </c>
      <c r="E5" s="7" t="s">
        <v>159</v>
      </c>
      <c r="F5" s="7" t="s">
        <v>160</v>
      </c>
      <c r="G5" s="7" t="s">
        <v>161</v>
      </c>
      <c r="H5" s="7" t="s">
        <v>162</v>
      </c>
      <c r="I5" s="7" t="s">
        <v>163</v>
      </c>
    </row>
    <row r="6" customFormat="false" ht="21.75" hidden="false" customHeight="true" outlineLevel="0" collapsed="false">
      <c r="B6" s="8" t="s">
        <v>41</v>
      </c>
      <c r="C6" s="10" t="s">
        <v>164</v>
      </c>
      <c r="D6" s="28" t="s">
        <v>165</v>
      </c>
      <c r="E6" s="28" t="s">
        <v>166</v>
      </c>
      <c r="F6" s="28" t="s">
        <v>167</v>
      </c>
      <c r="G6" s="18" t="s">
        <v>168</v>
      </c>
      <c r="H6" s="18" t="s">
        <v>169</v>
      </c>
      <c r="I6" s="29" t="s">
        <v>170</v>
      </c>
    </row>
    <row r="7" customFormat="false" ht="21.75" hidden="false" customHeight="true" outlineLevel="0" collapsed="false">
      <c r="B7" s="14" t="s">
        <v>66</v>
      </c>
      <c r="C7" s="16" t="s">
        <v>171</v>
      </c>
      <c r="D7" s="28" t="s">
        <v>172</v>
      </c>
      <c r="E7" s="28" t="s">
        <v>173</v>
      </c>
      <c r="F7" s="28" t="s">
        <v>167</v>
      </c>
      <c r="G7" s="18" t="s">
        <v>168</v>
      </c>
      <c r="H7" s="18" t="s">
        <v>169</v>
      </c>
      <c r="I7" s="30" t="s">
        <v>174</v>
      </c>
    </row>
    <row r="8" customFormat="false" ht="21.75" hidden="false" customHeight="true" outlineLevel="0" collapsed="false">
      <c r="B8" s="8" t="s">
        <v>118</v>
      </c>
      <c r="C8" s="10" t="s">
        <v>175</v>
      </c>
      <c r="D8" s="28" t="s">
        <v>176</v>
      </c>
      <c r="E8" s="28" t="s">
        <v>177</v>
      </c>
      <c r="F8" s="28" t="s">
        <v>167</v>
      </c>
      <c r="G8" s="18" t="s">
        <v>168</v>
      </c>
      <c r="H8" s="18" t="s">
        <v>169</v>
      </c>
      <c r="I8" s="29" t="s">
        <v>178</v>
      </c>
    </row>
    <row r="9" customFormat="false" ht="21.75" hidden="false" customHeight="true" outlineLevel="0" collapsed="false">
      <c r="B9" s="14" t="s">
        <v>101</v>
      </c>
      <c r="C9" s="16" t="s">
        <v>179</v>
      </c>
      <c r="D9" s="28" t="s">
        <v>180</v>
      </c>
      <c r="E9" s="31" t="s">
        <v>181</v>
      </c>
      <c r="F9" s="28" t="s">
        <v>167</v>
      </c>
      <c r="G9" s="18" t="s">
        <v>168</v>
      </c>
      <c r="H9" s="18" t="s">
        <v>169</v>
      </c>
      <c r="I9" s="30" t="s">
        <v>182</v>
      </c>
    </row>
    <row r="10" customFormat="false" ht="21.75" hidden="false" customHeight="true" outlineLevel="0" collapsed="false">
      <c r="B10" s="8" t="s">
        <v>110</v>
      </c>
      <c r="C10" s="10" t="s">
        <v>183</v>
      </c>
      <c r="D10" s="28" t="s">
        <v>172</v>
      </c>
      <c r="E10" s="28" t="s">
        <v>172</v>
      </c>
      <c r="F10" s="28" t="s">
        <v>167</v>
      </c>
      <c r="G10" s="18" t="s">
        <v>168</v>
      </c>
      <c r="H10" s="18" t="s">
        <v>169</v>
      </c>
      <c r="I10" s="29" t="s">
        <v>184</v>
      </c>
    </row>
    <row r="11" customFormat="false" ht="21.75" hidden="false" customHeight="true" outlineLevel="0" collapsed="false">
      <c r="B11" s="14" t="s">
        <v>136</v>
      </c>
      <c r="C11" s="16" t="s">
        <v>185</v>
      </c>
      <c r="D11" s="28" t="s">
        <v>186</v>
      </c>
      <c r="E11" s="28" t="s">
        <v>187</v>
      </c>
      <c r="F11" s="28" t="s">
        <v>167</v>
      </c>
      <c r="G11" s="18" t="s">
        <v>188</v>
      </c>
      <c r="H11" s="18" t="s">
        <v>189</v>
      </c>
      <c r="I11" s="30" t="s">
        <v>190</v>
      </c>
    </row>
    <row r="12" customFormat="false" ht="21.75" hidden="false" customHeight="true" outlineLevel="0" collapsed="false">
      <c r="B12" s="8" t="s">
        <v>25</v>
      </c>
      <c r="C12" s="10" t="s">
        <v>191</v>
      </c>
      <c r="D12" s="31" t="s">
        <v>192</v>
      </c>
      <c r="E12" s="28" t="s">
        <v>193</v>
      </c>
      <c r="F12" s="28" t="s">
        <v>167</v>
      </c>
      <c r="G12" s="18" t="s">
        <v>168</v>
      </c>
      <c r="H12" s="12" t="s">
        <v>194</v>
      </c>
      <c r="I12" s="29" t="s">
        <v>195</v>
      </c>
    </row>
    <row r="13" customFormat="false" ht="21.75" hidden="false" customHeight="true" outlineLevel="0" collapsed="false">
      <c r="B13" s="14" t="s">
        <v>80</v>
      </c>
      <c r="C13" s="16" t="s">
        <v>196</v>
      </c>
      <c r="D13" s="31" t="s">
        <v>197</v>
      </c>
      <c r="E13" s="28" t="s">
        <v>198</v>
      </c>
      <c r="F13" s="28" t="s">
        <v>167</v>
      </c>
      <c r="G13" s="18" t="s">
        <v>168</v>
      </c>
      <c r="H13" s="12" t="s">
        <v>169</v>
      </c>
      <c r="I13" s="30" t="s">
        <v>199</v>
      </c>
    </row>
    <row r="14" customFormat="false" ht="21.75" hidden="false" customHeight="true" outlineLevel="0" collapsed="false">
      <c r="B14" s="8" t="s">
        <v>91</v>
      </c>
      <c r="C14" s="10" t="s">
        <v>92</v>
      </c>
      <c r="D14" s="31" t="s">
        <v>200</v>
      </c>
      <c r="E14" s="31" t="s">
        <v>201</v>
      </c>
      <c r="F14" s="28" t="s">
        <v>167</v>
      </c>
      <c r="G14" s="18" t="s">
        <v>168</v>
      </c>
      <c r="H14" s="12" t="s">
        <v>169</v>
      </c>
      <c r="I14" s="29" t="s">
        <v>202</v>
      </c>
    </row>
    <row r="15" customFormat="false" ht="21.75" hidden="false" customHeight="true" outlineLevel="0" collapsed="false">
      <c r="B15" s="14" t="s">
        <v>54</v>
      </c>
      <c r="C15" s="16" t="s">
        <v>203</v>
      </c>
      <c r="D15" s="31" t="s">
        <v>204</v>
      </c>
      <c r="E15" s="28" t="s">
        <v>205</v>
      </c>
      <c r="F15" s="28" t="s">
        <v>167</v>
      </c>
      <c r="G15" s="19" t="s">
        <v>206</v>
      </c>
      <c r="H15" s="19" t="s">
        <v>207</v>
      </c>
      <c r="I15" s="30" t="s">
        <v>208</v>
      </c>
    </row>
    <row r="16" customFormat="false" ht="21.75" hidden="false" customHeight="true" outlineLevel="0" collapsed="false">
      <c r="B16" s="8" t="s">
        <v>126</v>
      </c>
      <c r="C16" s="10" t="s">
        <v>209</v>
      </c>
      <c r="D16" s="28" t="s">
        <v>210</v>
      </c>
      <c r="E16" s="32" t="s">
        <v>211</v>
      </c>
      <c r="F16" s="28" t="s">
        <v>167</v>
      </c>
      <c r="G16" s="18" t="s">
        <v>168</v>
      </c>
      <c r="H16" s="19" t="s">
        <v>212</v>
      </c>
      <c r="I16" s="29" t="s">
        <v>213</v>
      </c>
    </row>
    <row r="19" customFormat="false" ht="15.75" hidden="false" customHeight="true" outlineLevel="0" collapsed="false">
      <c r="B19" s="33" t="s">
        <v>214</v>
      </c>
      <c r="C19" s="33"/>
      <c r="D19" s="33"/>
      <c r="E19" s="33"/>
      <c r="F19" s="33"/>
      <c r="G19" s="33"/>
      <c r="H19" s="33"/>
      <c r="I19" s="33"/>
    </row>
    <row r="20" customFormat="false" ht="13.5" hidden="false" customHeight="true" outlineLevel="0" collapsed="false">
      <c r="B20" s="26" t="s">
        <v>215</v>
      </c>
      <c r="C20" s="26"/>
      <c r="D20" s="26"/>
      <c r="E20" s="26"/>
      <c r="F20" s="26"/>
      <c r="G20" s="26"/>
      <c r="H20" s="26"/>
      <c r="I20" s="26"/>
    </row>
    <row r="21" customFormat="false" ht="13.5" hidden="false" customHeight="true" outlineLevel="0" collapsed="false">
      <c r="B21" s="26" t="s">
        <v>216</v>
      </c>
      <c r="C21" s="26"/>
      <c r="D21" s="26"/>
      <c r="E21" s="26"/>
      <c r="F21" s="26"/>
      <c r="G21" s="26"/>
      <c r="H21" s="26"/>
      <c r="I21" s="26"/>
    </row>
    <row r="22" customFormat="false" ht="13.5" hidden="false" customHeight="true" outlineLevel="0" collapsed="false">
      <c r="B22" s="26" t="s">
        <v>217</v>
      </c>
      <c r="C22" s="26"/>
      <c r="D22" s="26"/>
      <c r="E22" s="26"/>
      <c r="F22" s="26"/>
      <c r="G22" s="26"/>
      <c r="H22" s="26"/>
      <c r="I22" s="26"/>
    </row>
    <row r="23" customFormat="false" ht="13.5" hidden="false" customHeight="true" outlineLevel="0" collapsed="false">
      <c r="B23" s="26" t="s">
        <v>218</v>
      </c>
      <c r="C23" s="26"/>
      <c r="D23" s="26"/>
      <c r="E23" s="26"/>
      <c r="F23" s="26"/>
      <c r="G23" s="26"/>
      <c r="H23" s="26"/>
      <c r="I23" s="26"/>
    </row>
  </sheetData>
  <mergeCells count="7">
    <mergeCell ref="B2:I2"/>
    <mergeCell ref="B3:I3"/>
    <mergeCell ref="B19:I19"/>
    <mergeCell ref="B20:I20"/>
    <mergeCell ref="B21:I21"/>
    <mergeCell ref="B22:I22"/>
    <mergeCell ref="B23:I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2026-04-02T15:20:51Z</dcterms:created>
  <dc:creator>openpyxl</dc:creator>
  <dc:description/>
  <dc:language>en-US</dc:language>
  <cp:lastModifiedBy>Tobias Kowalski</cp:lastModifiedBy>
  <dcterms:modified xsi:type="dcterms:W3CDTF">2026-04-14T22:42:20Z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