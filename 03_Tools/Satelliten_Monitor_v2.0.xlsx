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F6511AE9-1326-470A-85D3-29711D76261B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Satelliten Monitor" sheetId="1" r:id="rId1"/>
    <sheet name="QuickScreen Ampe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" l="1"/>
  <c r="R18" i="1"/>
  <c r="R17" i="1"/>
  <c r="R16" i="1"/>
  <c r="R15" i="1"/>
  <c r="R14" i="1"/>
  <c r="R13" i="1"/>
  <c r="R12" i="1"/>
  <c r="R11" i="1"/>
  <c r="R10" i="1"/>
  <c r="R9" i="1"/>
  <c r="R8" i="1"/>
  <c r="R7" i="1"/>
</calcChain>
</file>

<file path=xl/sharedStrings.xml><?xml version="1.0" encoding="utf-8"?>
<sst xmlns="http://schemas.openxmlformats.org/spreadsheetml/2006/main" count="325" uniqueCount="253">
  <si>
    <t>🦅  DYNASTIEDEPOT – SATELLITEN MONITOR v2.0</t>
  </si>
  <si>
    <t>Stand: 18.05.2026 (AMZN Neuaufnahme 12. Satellit — Score 42/DEFCON 1, 🔴 CapEx/OCF-FLAG, Sparrate 0€ regelkonform)  |  Broker: Scalable Capital  |  Slots: 12/12</t>
  </si>
  <si>
    <t>Sparrate Satelliten: 285 €/Monat  |  D3/D4-Rate: 38,00€  |  D2-Sockelbetrag: 19,00€ (50%)  |  Nenner 7.5 (unverändert — AMZN 12. Satellit nenner-neutral, FLAG=Gewicht 0,0; Bestands-11-Raten unberührt)</t>
  </si>
  <si>
    <t>Vollanalysiert: 12 / 12 ✅  |  Geschätzt: 0 / 12</t>
  </si>
  <si>
    <t>Quellen: Vollanalyse [V] | Kalibrierungsanalyse [KB] | Schätzung [~] | Tariff-Check [TC]</t>
  </si>
  <si>
    <t>Ticker</t>
  </si>
  <si>
    <t>Name</t>
  </si>
  <si>
    <t>Sektor</t>
  </si>
  <si>
    <t>P/FCF</t>
  </si>
  <si>
    <t>ROIC %</t>
  </si>
  <si>
    <t>Gross Margin %</t>
  </si>
  <si>
    <t>Rev CAGR 3Y</t>
  </si>
  <si>
    <t>Moat (GuruFocus)</t>
  </si>
  <si>
    <t>P/B / Excpt.</t>
  </si>
  <si>
    <t>Exception</t>
  </si>
  <si>
    <t>DEFCON Score</t>
  </si>
  <si>
    <t>Δ Score</t>
  </si>
  <si>
    <t>Status / FLAG</t>
  </si>
  <si>
    <t>Sparrate
€/Monat</t>
  </si>
  <si>
    <t>Nächster
Check</t>
  </si>
  <si>
    <t>Score-
Datum</t>
  </si>
  <si>
    <t>Alter
(Tage)</t>
  </si>
  <si>
    <t>Hinweis</t>
  </si>
  <si>
    <t>ASML</t>
  </si>
  <si>
    <t>ASML Holding NV</t>
  </si>
  <si>
    <t>Halbleiter-Equip</t>
  </si>
  <si>
    <t>48x [V 17.04.]</t>
  </si>
  <si>
    <t>26.48% TTM [V 17.04.]</t>
  </si>
  <si>
    <t>52.8% [V 17.04.]</t>
  </si>
  <si>
    <t>~16% [~]</t>
  </si>
  <si>
    <t>9 / Wide</t>
  </si>
  <si>
    <t>n.a.</t>
  </si>
  <si>
    <t>Nein</t>
  </si>
  <si>
    <t>68 / DEFCON 3</t>
  </si>
  <si>
    <t>+2 v3.5-&gt;v3.7</t>
  </si>
  <si>
    <t>Q1 2026 Earnings 15.04.</t>
  </si>
  <si>
    <t>[V 17.04.] Score 68. OpM 36,1%, Fwd P/E 39,52 + P/FCF 48x -&gt; QT-Fix-1 beide hart 0. ROIC 26,48% TTM. WATCH: Fwd P/E FY27 30,30 Grenzfall — bei &lt;30 Score +1-2 (D4-Upside).</t>
  </si>
  <si>
    <t>AVGO</t>
  </si>
  <si>
    <t>Broadcom Inc.</t>
  </si>
  <si>
    <t>Halbleiter/SW</t>
  </si>
  <si>
    <t>3.98% GAAP / 45.7% §410-bereinigt [V 30.04.]</t>
  </si>
  <si>
    <t>~65% [~]</t>
  </si>
  <si>
    <t>2.26% Fabless [V 30.04.]</t>
  </si>
  <si>
    <t>Wide / 18 [V 30.04.]</t>
  </si>
  <si>
    <t>53 / DEFCON 2</t>
  </si>
  <si>
    <t>Δ-31 30.04. (Quality-Trap)</t>
  </si>
  <si>
    <t>[V 30.04.] Forward-Vollanalyse (erste echte seit Skill-Adoption, Pivot von PIPELINE #18 Backfill): Score 84→53 (Δ-31), D4→D2. Quality-Trap voll aktiv (Wide × Fwd P/E 22.98 max 1; Wide × P/FCF 74.4 hart 0). ROIC §410-Goodwill-bereinigt 45.7% (M&amp;A-Compounder VMware/CA/Symantec/Brocade GW 57.2%). FLAG aktiv unverändert (Sparrate 0€, keine Kaskade). Codex R1+R2-Pass 74% Confidence (APPROVE Master-Reading). 5 PIPELINE-Methodology-Watches #30-34.</t>
  </si>
  <si>
    <t>MSFT</t>
  </si>
  <si>
    <t>Microsoft Corp.</t>
  </si>
  <si>
    <t>Software/Cloud</t>
  </si>
  <si>
    <t>~38x [~]</t>
  </si>
  <si>
    <t>7.5% [V]</t>
  </si>
  <si>
    <t>~69% [~]</t>
  </si>
  <si>
    <t>~13% [~]</t>
  </si>
  <si>
    <t>50 / DEFCON 2</t>
  </si>
  <si>
    <t>-9 vs 17.04. (Q3 FY26 Tag-+1 V-Q2-Mittelweg)</t>
  </si>
  <si>
    <t>Q4 FY26 ~Juli — CapEx-Plateau-Recheck + WACC-Methodology-Verify</t>
  </si>
  <si>
    <t>[V] Q3 FY26 Tag-+1 30.04.: Score 59→50, D2/FLAG aktiv unverändert. Triggers A ✅ (CapEx/OCF bereinigt 9M=57,7%) / B ❌ FAIL (CY26 $190B vs Konsens $154,6B Surprise +23%) / C ✅✅ (Azure +39% cc). Quality-Trap aktiv (Wide × Fwd P/E 22,4 max 1; Wide × P/FCF 39,7 hart 0). ROIC 7,68% &lt; WACC 13,64% defeatbeta (Methodology-Watch FRED-Baseline-Verify Q4). Codex-R1+R2-Doppel-Review (V-Q2-Mittelweg via Insider-Skip-Carryover). 4 PIPELINE-Items aktiv (#25-28). Sparrate 0€ unverändert.</t>
  </si>
  <si>
    <t>COST</t>
  </si>
  <si>
    <t>Costco Wholesale</t>
  </si>
  <si>
    <t>Einzelhandel</t>
  </si>
  <si>
    <t>~53x [~]</t>
  </si>
  <si>
    <t>5.6% GAAP (MY 15.2%)</t>
  </si>
  <si>
    <t>12.7%</t>
  </si>
  <si>
    <t>~10% [~]</t>
  </si>
  <si>
    <t>8 / Wide</t>
  </si>
  <si>
    <t>Exception (GM)</t>
  </si>
  <si>
    <t>Ja</t>
  </si>
  <si>
    <t>69 / DEFCON 3</t>
  </si>
  <si>
    <t>0 v3.5-&gt;v3.7</t>
  </si>
  <si>
    <t>28.05.2026</t>
  </si>
  <si>
    <t>RMS</t>
  </si>
  <si>
    <t>Hermès Intl. (EUR)</t>
  </si>
  <si>
    <t>Luxus</t>
  </si>
  <si>
    <t>38x [V]</t>
  </si>
  <si>
    <t>24.2% TTM [V]</t>
  </si>
  <si>
    <t>71% [V]</t>
  </si>
  <si>
    <t>Wide [V]</t>
  </si>
  <si>
    <t>-1 v3.5-&gt;v3.7</t>
  </si>
  <si>
    <t>H1 2026 Report Juli/Aug 2026</t>
  </si>
  <si>
    <t>VEEV</t>
  </si>
  <si>
    <t>Veeva Systems</t>
  </si>
  <si>
    <t>Healthcare-SW</t>
  </si>
  <si>
    <t>~45x [V]</t>
  </si>
  <si>
    <t>~25% [V]</t>
  </si>
  <si>
    <t>~74% [V]</t>
  </si>
  <si>
    <t>~17% [~]</t>
  </si>
  <si>
    <t>74 / DEFCON 3</t>
  </si>
  <si>
    <t>21.05.2026 Q1 FY27</t>
  </si>
  <si>
    <t>SU</t>
  </si>
  <si>
    <t>Schneider Electric (EUR)</t>
  </si>
  <si>
    <t>Industrials</t>
  </si>
  <si>
    <t>10.48% TTM</t>
  </si>
  <si>
    <t>~42% [~]</t>
  </si>
  <si>
    <t>~11% [~]</t>
  </si>
  <si>
    <t>Narrow/Wide</t>
  </si>
  <si>
    <t>-2 v3.5-&gt;v3.7</t>
  </si>
  <si>
    <t>07.05.2026</t>
  </si>
  <si>
    <t>BRK.B</t>
  </si>
  <si>
    <t>Berkshire Hathaway B</t>
  </si>
  <si>
    <t>Holding/Vers.</t>
  </si>
  <si>
    <t>Exception (P/B 1.44x)</t>
  </si>
  <si>
    <t>5.6-7.8% GAAP [Float]</t>
  </si>
  <si>
    <t>n.a. (Holding)</t>
  </si>
  <si>
    <t>~8% [~]</t>
  </si>
  <si>
    <t>~1,5-1,6x P/B</t>
  </si>
  <si>
    <t>71 / DEFCON 3</t>
  </si>
  <si>
    <t>Δ-4 04.05. (Q1 FY26 Tag-+1 Codex-R1-Korrektur)</t>
  </si>
  <si>
    <t>30.06.2026</t>
  </si>
  <si>
    <t>[V 04.05.] Q1 FY26 Tag-+1 Vollanalyse Score 75→71 (Codex-R1-Korrektur Δ-4): F=35/M=19/T=1/I=10/S=6. Insurance Exception P/B 1,44x. Float 86B Q1, BNSF/BHE/MSR Operating-Power. Insider Form-4 04.05.: Abel Net Buy 6M $15,3M Open-Market. Cash-ATH effektiv $380,2B (Forbes T-Bill-Settlement bereinigt). 6 Q2-Methodology-Watches PIPELINE #36-#41. Volle Rate 38€.</t>
  </si>
  <si>
    <t>V</t>
  </si>
  <si>
    <t>Visa Inc.</t>
  </si>
  <si>
    <t>Payments</t>
  </si>
  <si>
    <t>28.32x [V 18.04.]</t>
  </si>
  <si>
    <t>9.89% GAAP &lt; WACC 10.48%</t>
  </si>
  <si>
    <t>80.4% [V 18.04.]</t>
  </si>
  <si>
    <t>~12% [~]</t>
  </si>
  <si>
    <t>64 / DEFCON 2</t>
  </si>
  <si>
    <t>+1 Codex-Revert vs 28.04. mittags</t>
  </si>
  <si>
    <t>22.07.2026</t>
  </si>
  <si>
    <t>[V 18.04.] Forward-Vollanalyse + Rescoring nach Advisor: 86-&gt;72-&gt;63. DREI Sub-Score-Korrekturen: (1) Moat Pricing-Power-Bonus entfernt (Transcript-Regel); (2) Insider Ownership 2-&gt;1 (V &lt;1% strikt); (3) ROIC 8-&gt;1 (Regel-4-Gating GW/Assets 19,95% &lt;30% greift NICHT, GAAP 9,89% &lt; WACC 10,48%). Technicals-Kollaps (RelStärke -13,97pp vs SPY, Kurs -4,97% unter fallendem 200MA). Q2 FY26 28.04. D2-Entscheidung.</t>
  </si>
  <si>
    <t>TMO</t>
  </si>
  <si>
    <t>Thermo Fisher Sci.</t>
  </si>
  <si>
    <t>Life Sciences</t>
  </si>
  <si>
    <t>31.10x [V 18.04.]</t>
  </si>
  <si>
    <t>17.18% bereinigt (Regel-4)</t>
  </si>
  <si>
    <t>40.9% [V 18.04.]</t>
  </si>
  <si>
    <t>~4% [~]</t>
  </si>
  <si>
    <t>67 / DEFCON 3</t>
  </si>
  <si>
    <t>+3 Q1 FY26 Beat+Raise</t>
  </si>
  <si>
    <t>23.04.2026 Q1 Earnings</t>
  </si>
  <si>
    <t>APH</t>
  </si>
  <si>
    <t>Amphenol Corp.</t>
  </si>
  <si>
    <t>Steckverbinder</t>
  </si>
  <si>
    <t>~28x [~]</t>
  </si>
  <si>
    <t>~22% [~]</t>
  </si>
  <si>
    <t>~32% [V]</t>
  </si>
  <si>
    <t>~18% [~]</t>
  </si>
  <si>
    <t>61 / DEFCON 2</t>
  </si>
  <si>
    <t>-2 vs 17.04. (Q1 FY26 Vollanalyse)</t>
  </si>
  <si>
    <t>[V+TC] DEFCON 2 seit 18.04. Schema-Alignment. FLAG aktiv (Score-basiert 63 + D2). Tariff-Check 15.04.: China Rev 14,7% &lt; 15%-Schwelle -&gt; kein Revenue-FLAG. Supply-Chain CN/MY Risk-Map aktiv. Sparrate 0€.</t>
  </si>
  <si>
    <t>AMZN</t>
  </si>
  <si>
    <t>Amazon.com</t>
  </si>
  <si>
    <t>Hyperscaler (AWS/E-Com/Ads)</t>
  </si>
  <si>
    <t>2305x [V 15.05.]</t>
  </si>
  <si>
    <t>5.4% GAAP [V 15.05.]</t>
  </si>
  <si>
    <t>~50% [~]</t>
  </si>
  <si>
    <t>Wide / 19 [V 15.05.]</t>
  </si>
  <si>
    <t>42 / DEFCON 1</t>
  </si>
  <si>
    <t>NEU 18.05.</t>
  </si>
  <si>
    <t>Q2 FY26 ~Ende Juli</t>
  </si>
  <si>
    <t>[V 15.05.] Neuaufnahme 12. Satellit (User-Direktive 18.05.). Score 42/D1. CapEx/OCF TTM netto 99,2% (P&amp;E-net $147,3B / OCF $148,5B) &gt;&gt;60%, schaerfer als GOOGL 74-79%. FCF TTM $1,23B -95% YoY. §410 N/A (GW 2,6%). QT-hart fwd_pe/p_fcf 0. ROIC 5,4% GAAP &lt;&lt; WACC 15,57%. Sparrate 0€ regelkonform (kein Owner-Override, FLAG heilig). Resolve-Gate &lt;60%.</t>
  </si>
  <si>
    <t>Sparrate-Check</t>
  </si>
  <si>
    <t>Gesamt:</t>
  </si>
  <si>
    <t>→ muss = 285,00 €</t>
  </si>
  <si>
    <t>LEGENDE &amp; DATENQUALITÄT</t>
  </si>
  <si>
    <t>✅ Fetched Live – GuruFocus term-pages 02.04.2026: Moat-Scores ASML(9) COST(8) VEEV(8) V(9) MSFT(9)</t>
  </si>
  <si>
    <t>[KB] – Kalibrierungsanalyse: AVGO 86/100 (25.03.), TMO 65→67 (07.04.), ASML 68 (06.04.), MSFT 77→60 (08.04.), APH 61 (09.04.), RMS 71→69 (15.04. Re-Analyse), VEEV 74 (09.04.)</t>
  </si>
  <si>
    <t>[~] – Schätzung Wissensbasis (plausibel) | [V] – Vollanalyse verifiziert | [TC] – Tariff-Check abgeschlossen 15.04.2026</t>
  </si>
  <si>
    <t>P/FCF Filter</t>
  </si>
  <si>
    <t>ROIC Filter</t>
  </si>
  <si>
    <t>Moat Filter</t>
  </si>
  <si>
    <t>FLAG</t>
  </si>
  <si>
    <t>Gesamt-Ampel</t>
  </si>
  <si>
    <t>Nächster Schritt</t>
  </si>
  <si>
    <t>Broadcom</t>
  </si>
  <si>
    <t>Costco</t>
  </si>
  <si>
    <t>✅</t>
  </si>
  <si>
    <t>Visa</t>
  </si>
  <si>
    <t>Amphenol</t>
  </si>
  <si>
    <t>ASML Holding</t>
  </si>
  <si>
    <t>Hermès</t>
  </si>
  <si>
    <t>Microsoft</t>
  </si>
  <si>
    <t>Thermo Fisher</t>
  </si>
  <si>
    <t>LEGENDE</t>
  </si>
  <si>
    <t>~68x live 22.05. [V 30.04. 74.4]</t>
  </si>
  <si>
    <t>Q2 FY26 Earnings ~Juni 2026</t>
  </si>
  <si>
    <t>Q2 FY26 Earnings 29.07.2026</t>
  </si>
  <si>
    <t>🦅  DYNASTIEDEPOT – QUICKSCREEN AMPEL  |  Stand: 18.05.2026 (v3.7 post-AMZN-Neuaufnahme)</t>
  </si>
  <si>
    <t>Score 68 / D3. v3.7 Fix-1 Subscore-Deckel. Volle Rate 38,00€.</t>
  </si>
  <si>
    <t>Score 53 / D2 (V 30.04., Δ-31). Quality-Trap voll aktiv. Insider-Selling 90d $106,4M. Sparrate 0€.</t>
  </si>
  <si>
    <t>Score 50 / D2 (Q3 FY26 Tag-+1 30.04., -9 vs 17.04.). CapEx/OCF-FLAG. Re-Check Q4 FY26 ~Juli. Sparrate 0€.</t>
  </si>
  <si>
    <t>Score 69 / D3. Exception GM 12,7%. D4→D3 Label-Fix 18.04. Volle Rate 38,00€.</t>
  </si>
  <si>
    <t>Score 68 / D3 (Re-Analyse 15.04., 71→68 Q1 Miss). D4→D3 Label-Fix 18.04. Volle Rate 38,00€.</t>
  </si>
  <si>
    <t>Score 74 / D3. SaaS Wide Moat (Life-Science Switching Costs). D4→D3 Label-Fix 18.04. Volle Rate 38,00€.</t>
  </si>
  <si>
    <t>Schneider Electric</t>
  </si>
  <si>
    <t>Score 69 / D3 (v3.7 Fix-3 Sell-Ratio). EUR. Non-US IFRS. D4→D3 Label-Fix 18.04. Volle Rate 38,00€.</t>
  </si>
  <si>
    <t>Score 71 / D3 (Q1 FY26 Tag-+1 04.05., 75→71 Codex-R1). Insurance Exception. Volle Rate 38,00€.</t>
  </si>
  <si>
    <t>Score 64 / D2 (Q2 Beat→Codex-Revert 28.04.). Technicals-Kollaps. Sockelbetrag 19,00€. Q3 ~Ende Juli ROIC-Verify.</t>
  </si>
  <si>
    <t>Score 67 / D3 (Q1 FY26 Beat+Raise 23.04.). fcf_trend_neg Resolve. Q2 ~Ende Juli. Volle Rate 38,00€.</t>
  </si>
  <si>
    <t>Score 61 / D2 (Schema-Alignment 18.04.). FLAG aktiv. Tariff-Check CN 14,7%. Q2 FY26 Earnings 29.07.2026. Sparrate 0€.</t>
  </si>
  <si>
    <t>Score 42 / D1 (V 15.05.). Neuaufnahme 12. Satellit 18.05. CapEx/OCF TTM 99,2%. Re-Eval Q2 FY26 ~Juli. Sparrate 0€.</t>
  </si>
  <si>
    <t>Exception-Logik: COST (GM strukturell ~13%, Membership-Yield als ROIC-Proxy), BRK.B (P/B statt P/FCF, Float-Power statt klassischer ROIC) | Stand: 18.05.2026</t>
  </si>
  <si>
    <t>Filter: P/FCF ≤35x ● / ≤45x ● / &gt;45x ●  |  ROIC ≥15% ● / ≥12% ● / &lt;12% ●  |  Moat Wide ● / Narrow ● / None ●  |  FLAG überschreibt immer → ●</t>
  </si>
  <si>
    <t>● 48x [V 17.04.]</t>
  </si>
  <si>
    <t>● 26,48% TTM</t>
  </si>
  <si>
    <t>● Wide</t>
  </si>
  <si>
    <t>● DEFCON 3 / ✅ VOLLRATE</t>
  </si>
  <si>
    <t>● ~68x live (V 30.04.: 74,4)</t>
  </si>
  <si>
    <t>● 3,98% GAAP (§410: 45,7%)</t>
  </si>
  <si>
    <t>● FLAG (Insider-Selling)</t>
  </si>
  <si>
    <t>● FLAG / ⏸ EINGEFROREN</t>
  </si>
  <si>
    <t>● ~38x (QT max 1)</t>
  </si>
  <si>
    <t>● 7,5% GAAP (&lt;WACC)</t>
  </si>
  <si>
    <t>● FLAG (Bull B FAIL CY26 $190B)</t>
  </si>
  <si>
    <t>● FLAG / DEFCON 2 (50) / ⏸ EINGEFROREN</t>
  </si>
  <si>
    <t>● Exception (GM strukturell)</t>
  </si>
  <si>
    <t>● Exception (Membership-Yield 15,2% &gt; WACC)</t>
  </si>
  <si>
    <t>● HALTEN</t>
  </si>
  <si>
    <t>● 38x</t>
  </si>
  <si>
    <t>● 24,2% TTM (Screener-Exception &gt;&gt; WACC)</t>
  </si>
  <si>
    <t>● ~45x</t>
  </si>
  <si>
    <t>● ~25%</t>
  </si>
  <si>
    <t>● ~38x</t>
  </si>
  <si>
    <t>● 10,48% TTM (&gt; WACC 8,96%)</t>
  </si>
  <si>
    <t>● Exception (P/B 1,44x)</t>
  </si>
  <si>
    <t>● Exception (Float-Power)</t>
  </si>
  <si>
    <t>● 28,32x</t>
  </si>
  <si>
    <t>● 9,89% GAAP &lt; WACC 10,48%</t>
  </si>
  <si>
    <t>● D2 (Sockelbetrag)</t>
  </si>
  <si>
    <t>● DEFCON 2 / ⏸ Sockelbetrag</t>
  </si>
  <si>
    <t>● 31,10x</t>
  </si>
  <si>
    <t>● 17,18% (Regel-4 bereinigt)</t>
  </si>
  <si>
    <t>● ~28x</t>
  </si>
  <si>
    <t>● ~22%</t>
  </si>
  <si>
    <t>● FLAG (Score-basiert 61)</t>
  </si>
  <si>
    <t>● 2305x (QT hart 0)</t>
  </si>
  <si>
    <t>● 5,4% GAAP &lt;&lt; WACC 15,57%</t>
  </si>
  <si>
    <t>● FLAG (CapEx/OCF 99,2%)</t>
  </si>
  <si>
    <t>● HALTEN: Alle 3 Filter grün + kein FLAG → Volle Sparrate 38,00€</t>
  </si>
  <si>
    <t>● PRÜFEN / DEFCON 2 Sockelbetrag: Mind. 1 Filter gelb oder Score 60–64 ohne FLAG → 19,00€ (50%)</t>
  </si>
  <si>
    <t>● EINGEFROREN: FLAG aktiv (MSFT, APH, AVGO, AMZN) → Sparrate 0€, Re-Analyse pflichtig</t>
  </si>
  <si>
    <t>Eingefroren: MSFT (● CapEx/OCF &gt;60%, D2) | APH (● Score-basiert 61, D2) | AVGO (● Insider-Selling 90d $106M+, ab 27.04.) | AMZN (● CapEx/OCF 99,2%, D1, ab 15.05.) → Sparrate 0€</t>
  </si>
  <si>
    <t>Ergebnis: ● 7 Voll  ● 1 D2-Sockelbetrag (V)  ● 4 Eingefroren (MSFT, APH, AVGO, AMZN)</t>
  </si>
  <si>
    <t>● DEFCON 3 / ✅ Volle Rate 38,00€ (D3=1.0, Nenner 7.5 post-TMO-Q1)</t>
  </si>
  <si>
    <t>● FLAG: Insider-Selling 90d $106.4M (5× Schwelle, insider_intel.py 30.04.) | OpenInsider 9 Tx „S - Sale" ohne 10b5-1-Suffix | Aktiviert 27.04.2026 | Vollanalyse 30.04. Score 84→53 (D4→D2) | FLAG aktiv unverändert | Sparrate 0€</t>
  </si>
  <si>
    <t>● FLAG: CapEx/OCF aktiv (Bull B FAIL CY26 $190B) | DEFCON 2 (50) | ⏸ Einfrieren</t>
  </si>
  <si>
    <t>● Halten | D4→D3 Schema-Alignment 18.04. | Screener-Exception Membership Yield 15.2% &gt; WACC</t>
  </si>
  <si>
    <t>● Halten | D4→D3 Schema-Alignment 18.04. | Screener-Exception ROIC 24% &gt;&gt; WACC</t>
  </si>
  <si>
    <t>● Halten | D4→D3 Schema-Alignment 18.04.</t>
  </si>
  <si>
    <t>● Halten | D4→D3 Schema-Alignment 18.04. | v3.7 Fix-3 Sell-Ratio</t>
  </si>
  <si>
    <t>● Halten | Q1 FY26 Tag-+1 04.05. Score 75→71 D3 unverändert | Insurance Exception (P/B 1.44x)</t>
  </si>
  <si>
    <t>● DEFCON 2 / ⏸ Sockelbetrag 19,00€ | Q2 Beat-Cascade D3 → Codex-Revert D2 (HIGH-1+2 28.04. spätabends) | Q3 ~Ende Juli ROIC-Verify (PIPELINE #21)</t>
  </si>
  <si>
    <t>● DEFCON 3 / ✅ Volle Rate 38,00€ | fcf_trend_neg Resolve (Q1 WC-Unwind) | Q2 ~Ende Juli</t>
  </si>
  <si>
    <t>● FLAG: Score 61 (DEFCON 2, &lt;65 D3-Threshold) | CommScope-NL 1,6x | China-Tax 27% [Q2 FY26 29.07.2026] | Sparrate 0€</t>
  </si>
  <si>
    <t>● FLAG: CapEx/OCF 99,2% (TTM netto, &gt;&gt;60%) | DEFCON 1 (42) | Sparrate 0€ | Re-Eval Q2 FY26 ~Juli</t>
  </si>
  <si>
    <t>● EINGEFROREN: MSFT (FLAG CapEx/OCF &gt;60%, D2, Score 50) | APH (FLAG Score-basiert, D2, Score 61) | AVGO (FLAG Insider-Selling 90d $106M+, D2 Score 53, ab 27.04.) | AMZN (FLAG CapEx/OCF 99,2% TTM, D1 Score 42, Neuaufnahme 12. Satellit ab 15.05.) → Sparrate 0€</t>
  </si>
  <si>
    <t>● Volle Rate 38,00€ (7 Positionen): ASML/COST/RMS/VEEV/SU/BRK.B/TMO D3  |  ● D2-Sockelbetrag 19,00€ (1): V  |  ● Eingefroren 0€ (4): MSFT, APH, AVGO, AMZN  |  Nenner 7×1,0 + 1×0,5 + 4×0 = 7,5  |  Σ = 7×38,00 + 1×19,00 + 4×0 = 285,00€ ✅</t>
  </si>
  <si>
    <t>[~] Exception: GM 12,7% strukturell (Membership-Fee). Membership-Yield 15,2% &gt; WACC 12,3% als ökonomischer Return. D4-&gt;D3 Label-Fix 18.04. Volle Rate 38,00€.</t>
  </si>
  <si>
    <t>[V] Re-Analyse 15.04.: 71-&gt;68 (Q1 Miss -8,4% Mittlerer Osten). ROIC 24% &gt;&gt; WACC 6,5% = Screener-Exception #3. Netto-Cash +9,89B EUR. D4-&gt;D3 Label-Fix 18.04. Volle Rate 38,00€.</t>
  </si>
  <si>
    <t>[V] Score 74 stabil. Asset-light SaaS. Moat Wide (Switching Costs Life-Science). CapEx/OCF &lt;10%. D4-&gt;D3 Label-Fix 18.04. Volle Rate 38,00€.</t>
  </si>
  <si>
    <t>[~] EUR-denominiert. ROIC 10,48% &gt; WACC 8,96%. Non-US IFRS. FCF-Wachstum +41% 3J. Schwächen: P/FCF 37,7x, Goodwill 40,2% (AVEVA). D4-&gt;D3 Label-Fix 18.04. Volle Rate 38,00€.</t>
  </si>
  <si>
    <t>[V 23.04.] Q1 FY26 Beat + Guidance-Raise: Adj EPS $5,44 vs $5,24 (+3,8% Beat), Rev $11,01B +6,2% reported / +1% organic, GAAP EPS $4,43 (+11,3%). Guidance-Raise: Rev $47,3-48,1B, Adj EPS $24,64-25,12, Organic 3-4%, FCF $6,9-7,4B. Clario $8,87B closed. FCF $825M (+121% YoY), OCF $1,192M (+65%), ΔWC -1,112M vs -1,425M (+$313M besser) = WC-Unwind-These bestätigt → fcf_trend_neg Resolve-Gate CLEAR. Score 64→67, D2→D3, Sparrate 17,81€→33,53€→38,00€ (Schema-Alignment 18.04. → v3.7 Vollrate). Watches: Organic-Akzeleration H2, Clario-Integration-Execution, Net-Debt/EBITDA Post-Deal. Q2 ~Ende Juli Re-Check.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</si>
</sst>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#,##0.00"/>
    <numFmt numFmtId="166" formatCode="dd\.mm\.yyyy"/>
  </numFmts>
  <fonts count="26" x14ac:knownFonts="1">
    <font>
      <sz val="11"/>
      <color theme="1"/>
      <name val="Calibri"/>
      <family val="2"/>
      <charset val="1"/>
    </font>
    <font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sz val="9"/>
      <color rgb="FF0000FF"/>
      <name val="Calibri"/>
      <charset val="1"/>
    </font>
    <font>
      <sz val="9"/>
      <color rgb="FF000000"/>
      <name val="Calibri"/>
      <charset val="1"/>
    </font>
    <font>
      <i/>
      <sz val="9"/>
      <color rgb="FF888888"/>
      <name val="Calibri"/>
      <charset val="1"/>
    </font>
    <font>
      <b/>
      <sz val="9"/>
      <color rgb="FFFFFFFF"/>
      <name val="Calibri"/>
      <charset val="1"/>
    </font>
    <font>
      <b/>
      <sz val="12"/>
      <color rgb="FFFFFFFF"/>
      <name val="Segoe UI Emoji"/>
    </font>
    <font>
      <sz val="9"/>
      <color rgb="FFFFFFFF"/>
      <name val="Segoe UI Emoji"/>
    </font>
    <font>
      <sz val="9"/>
      <name val="Segoe UI Emoji"/>
    </font>
    <font>
      <b/>
      <sz val="9"/>
      <name val="Segoe UI Emoji"/>
    </font>
    <font>
      <sz val="8"/>
      <color rgb="FF444444"/>
      <name val="Segoe UI Emoji"/>
    </font>
    <font>
      <sz val="11"/>
      <color theme="1"/>
      <name val="Segoe UI Emoji"/>
    </font>
    <font>
      <sz val="9"/>
      <color rgb="FFC00000"/>
      <name val="Segoe UI Emoji"/>
    </font>
    <font>
      <sz val="9"/>
      <color rgb="FF107C10"/>
      <name val="Segoe UI Emoji"/>
    </font>
    <font>
      <b/>
      <sz val="9"/>
      <color rgb="FFBF8F00"/>
      <name val="Segoe UI Emoji"/>
    </font>
    <font>
      <b/>
      <sz val="9"/>
      <color rgb="FFC00000"/>
      <name val="Segoe UI Emoji"/>
    </font>
    <font>
      <sz val="9"/>
      <color rgb="FFBF8F00"/>
      <name val="Segoe UI Emoji"/>
    </font>
    <font>
      <b/>
      <sz val="9"/>
      <color rgb="FF107C10"/>
      <name val="Segoe UI Emoji"/>
    </font>
    <font>
      <sz val="8"/>
      <color rgb="FF107C10"/>
      <name val="Segoe UI Emoji"/>
    </font>
    <font>
      <sz val="8"/>
      <color rgb="FFBF8F00"/>
      <name val="Segoe UI Emoji"/>
    </font>
    <font>
      <sz val="8"/>
      <color rgb="FFC00000"/>
      <name val="Segoe UI Emoji"/>
    </font>
    <font>
      <sz val="9"/>
      <color theme="0"/>
      <name val="Segoe UI Emoji"/>
      <family val="2"/>
    </font>
    <font>
      <sz val="11"/>
      <color theme="0"/>
      <name val="Segoe UI Emoji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  <fill>
      <patternFill patternType="solid">
        <fgColor rgb="FFFFF2CC"/>
        <bgColor indexed="64"/>
      </patternFill>
    </fill>
    <fill>
      <patternFill patternType="solid">
        <fgColor rgb="FFFFE0E0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4" borderId="0" xfId="0" applyFill="1"/>
    <xf numFmtId="0" fontId="2" fillId="2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 inden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164" fontId="6" fillId="7" borderId="1" xfId="0" applyNumberFormat="1" applyFont="1" applyFill="1" applyBorder="1" applyAlignment="1">
      <alignment horizontal="right" vertical="center"/>
    </xf>
    <xf numFmtId="0" fontId="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left" vertical="center" wrapText="1" indent="1"/>
    </xf>
    <xf numFmtId="0" fontId="4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164" fontId="6" fillId="10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 indent="1"/>
    </xf>
    <xf numFmtId="164" fontId="3" fillId="9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center" vertical="top" wrapText="1"/>
    </xf>
    <xf numFmtId="0" fontId="4" fillId="8" borderId="1" xfId="0" applyFont="1" applyFill="1" applyBorder="1" applyAlignment="1">
      <alignment horizontal="center" vertical="top" wrapText="1"/>
    </xf>
    <xf numFmtId="166" fontId="4" fillId="5" borderId="1" xfId="0" applyNumberFormat="1" applyFont="1" applyFill="1" applyBorder="1" applyAlignment="1">
      <alignment horizontal="center" vertical="center" wrapText="1"/>
    </xf>
    <xf numFmtId="1" fontId="4" fillId="5" borderId="1" xfId="0" applyNumberFormat="1" applyFont="1" applyFill="1" applyBorder="1" applyAlignment="1">
      <alignment horizontal="center" vertical="center" wrapText="1"/>
    </xf>
    <xf numFmtId="166" fontId="4" fillId="8" borderId="1" xfId="0" applyNumberFormat="1" applyFont="1" applyFill="1" applyBorder="1" applyAlignment="1">
      <alignment horizontal="center" vertical="center" wrapText="1"/>
    </xf>
    <xf numFmtId="1" fontId="4" fillId="8" borderId="1" xfId="0" applyNumberFormat="1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left" vertical="center" wrapText="1" indent="1"/>
    </xf>
    <xf numFmtId="0" fontId="0" fillId="0" borderId="0" xfId="0"/>
    <xf numFmtId="0" fontId="1" fillId="2" borderId="0" xfId="0" applyFont="1" applyFill="1" applyAlignment="1">
      <alignment horizontal="right" vertical="center" indent="1"/>
    </xf>
    <xf numFmtId="0" fontId="0" fillId="0" borderId="2" xfId="0" applyBorder="1"/>
    <xf numFmtId="0" fontId="0" fillId="0" borderId="3" xfId="0" applyBorder="1"/>
    <xf numFmtId="0" fontId="3" fillId="4" borderId="1" xfId="0" applyFont="1" applyFill="1" applyBorder="1" applyAlignment="1">
      <alignment horizontal="right" vertical="center"/>
    </xf>
    <xf numFmtId="0" fontId="8" fillId="3" borderId="1" xfId="0" applyFont="1" applyFill="1" applyBorder="1" applyAlignment="1">
      <alignment horizontal="left" vertical="center" wrapText="1" indent="1"/>
    </xf>
    <xf numFmtId="0" fontId="9" fillId="2" borderId="0" xfId="0" applyFont="1" applyFill="1" applyAlignment="1">
      <alignment horizontal="left" vertical="center" wrapText="1" indent="1"/>
    </xf>
    <xf numFmtId="0" fontId="10" fillId="3" borderId="0" xfId="0" applyFont="1" applyFill="1" applyAlignment="1">
      <alignment horizontal="left" vertical="center" wrapText="1" indent="1"/>
    </xf>
    <xf numFmtId="0" fontId="12" fillId="13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 indent="1"/>
    </xf>
    <xf numFmtId="0" fontId="9" fillId="2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center" vertical="center" wrapText="1"/>
    </xf>
    <xf numFmtId="0" fontId="14" fillId="0" borderId="0" xfId="0" applyFont="1"/>
    <xf numFmtId="0" fontId="10" fillId="3" borderId="0" xfId="0" applyFont="1" applyFill="1" applyAlignment="1">
      <alignment horizontal="right" vertical="center" indent="1"/>
    </xf>
    <xf numFmtId="0" fontId="11" fillId="5" borderId="1" xfId="0" applyFont="1" applyFill="1" applyBorder="1" applyAlignment="1">
      <alignment horizontal="left" vertical="center" wrapText="1" indent="1"/>
    </xf>
    <xf numFmtId="0" fontId="11" fillId="8" borderId="1" xfId="0" applyFont="1" applyFill="1" applyBorder="1" applyAlignment="1">
      <alignment horizontal="left" vertical="center" wrapText="1" indent="1"/>
    </xf>
    <xf numFmtId="0" fontId="15" fillId="12" borderId="1" xfId="0" applyFont="1" applyFill="1" applyBorder="1" applyAlignment="1">
      <alignment horizontal="center" vertical="center" wrapText="1"/>
    </xf>
    <xf numFmtId="0" fontId="16" fillId="13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0" fontId="19" fillId="11" borderId="1" xfId="0" applyFont="1" applyFill="1" applyBorder="1" applyAlignment="1">
      <alignment horizontal="center" vertical="center" wrapText="1"/>
    </xf>
    <xf numFmtId="0" fontId="20" fillId="13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left" vertical="center" wrapText="1" indent="1"/>
    </xf>
    <xf numFmtId="0" fontId="22" fillId="4" borderId="1" xfId="0" applyFont="1" applyFill="1" applyBorder="1" applyAlignment="1">
      <alignment horizontal="left" vertical="center" wrapText="1" indent="1"/>
    </xf>
    <xf numFmtId="0" fontId="23" fillId="4" borderId="1" xfId="0" applyFont="1" applyFill="1" applyBorder="1" applyAlignment="1">
      <alignment horizontal="left" vertical="center" wrapText="1" indent="1"/>
    </xf>
    <xf numFmtId="0" fontId="17" fillId="6" borderId="1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8" fillId="10" borderId="1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 indent="1"/>
    </xf>
    <xf numFmtId="0" fontId="24" fillId="3" borderId="0" xfId="0" applyFont="1" applyFill="1" applyAlignment="1">
      <alignment horizontal="center" vertical="center" wrapText="1"/>
    </xf>
    <xf numFmtId="0" fontId="25" fillId="0" borderId="0" xfId="0" applyFont="1"/>
  </cellXfs>
  <cellStyles count="1">
    <cellStyle name="Standard" xfId="0" builtinId="0"/>
  </cellStyles>
  <dxfs count="19">
    <dxf>
      <font>
        <b/>
        <sz val="9"/>
        <color rgb="FFCC0000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>
          <bgColor rgb="FFF5F5F5"/>
        </patternFill>
      </fill>
    </dxf>
    <dxf>
      <font>
        <b/>
        <sz val="9"/>
        <color rgb="FF006600"/>
      </font>
      <fill>
        <patternFill>
          <bgColor rgb="FFD6F0DA"/>
        </patternFill>
      </fill>
    </dxf>
    <dxf>
      <font>
        <b/>
        <sz val="9"/>
        <color rgb="FFCC0000"/>
      </font>
      <fill>
        <patternFill>
          <bgColor rgb="FFFFD0D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843C0C"/>
      </font>
      <fill>
        <patternFill patternType="solid">
          <fgColor rgb="FFFCE4D6"/>
          <bgColor rgb="FFFCE4D6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276221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44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617A47F-2CC7-4AE2-874E-A6B30FFB07BC}">
  <we:reference id="wa200009404" version="1.0.0.8" store="de-DE" storeType="OMEX"/>
  <we:alternateReferences>
    <we:reference id="WA200009404" version="1.0.0.8" store="" storeType="OMEX"/>
  </we:alternateReferences>
  <we:properties>
    <we:property name="claude.fileId" value="&quot;b80482f4-89c9-4267-beda-45669fcc802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S26"/>
  <sheetViews>
    <sheetView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4" width="14" customWidth="1"/>
    <col min="5" max="5" width="12" customWidth="1"/>
    <col min="6" max="6" width="10" customWidth="1"/>
    <col min="7" max="7" width="11" customWidth="1"/>
    <col min="8" max="8" width="10" customWidth="1"/>
    <col min="9" max="9" width="13" customWidth="1"/>
    <col min="10" max="10" width="14" customWidth="1"/>
    <col min="11" max="11" width="8" customWidth="1"/>
    <col min="12" max="12" width="14" customWidth="1"/>
    <col min="13" max="13" width="8" customWidth="1"/>
    <col min="14" max="14" width="21.28515625" customWidth="1"/>
    <col min="15" max="15" width="10" customWidth="1"/>
    <col min="16" max="16" width="13" customWidth="1"/>
    <col min="17" max="17" width="11" customWidth="1"/>
    <col min="18" max="18" width="9" customWidth="1"/>
    <col min="19" max="19" width="48" customWidth="1"/>
  </cols>
  <sheetData>
    <row r="1" spans="2:19" ht="6" customHeight="1" x14ac:dyDescent="0.25"/>
    <row r="2" spans="2:19" ht="27.75" customHeight="1" x14ac:dyDescent="0.25">
      <c r="B2" s="33" t="s">
        <v>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4" t="s">
        <v>1</v>
      </c>
      <c r="P2" s="23"/>
      <c r="Q2" s="23"/>
      <c r="R2" s="23"/>
      <c r="S2" s="23"/>
    </row>
    <row r="3" spans="2:19" ht="57.95" customHeight="1" x14ac:dyDescent="0.3">
      <c r="B3" s="30" t="s">
        <v>2</v>
      </c>
      <c r="C3" s="23"/>
      <c r="D3" s="23"/>
      <c r="E3" s="34" t="s">
        <v>3</v>
      </c>
      <c r="F3" s="35"/>
      <c r="G3" s="35"/>
      <c r="H3" s="55" t="s">
        <v>232</v>
      </c>
      <c r="I3" s="56"/>
      <c r="J3" s="56"/>
      <c r="K3" s="55" t="s">
        <v>233</v>
      </c>
      <c r="L3" s="56"/>
      <c r="M3" s="56"/>
      <c r="N3" s="36" t="s">
        <v>4</v>
      </c>
      <c r="O3" s="35"/>
      <c r="P3" s="23"/>
      <c r="Q3" s="23"/>
      <c r="R3" s="23"/>
      <c r="S3" s="23"/>
    </row>
    <row r="4" spans="2:19" ht="18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2:19" ht="30" customHeight="1" x14ac:dyDescent="0.25">
      <c r="B5" s="2" t="s">
        <v>5</v>
      </c>
      <c r="C5" s="2" t="s">
        <v>6</v>
      </c>
      <c r="D5" s="2" t="s">
        <v>7</v>
      </c>
      <c r="E5" s="2" t="s">
        <v>8</v>
      </c>
      <c r="F5" s="2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  <c r="O5" s="2" t="s">
        <v>18</v>
      </c>
      <c r="P5" s="2" t="s">
        <v>19</v>
      </c>
      <c r="Q5" s="2" t="s">
        <v>20</v>
      </c>
      <c r="R5" s="2" t="s">
        <v>21</v>
      </c>
      <c r="S5" s="2" t="s">
        <v>22</v>
      </c>
    </row>
    <row r="6" spans="2:19" ht="3.75" customHeight="1" x14ac:dyDescent="0.25"/>
    <row r="7" spans="2:19" ht="141.94999999999999" customHeight="1" x14ac:dyDescent="0.25">
      <c r="B7" s="3" t="s">
        <v>23</v>
      </c>
      <c r="C7" s="4" t="s">
        <v>24</v>
      </c>
      <c r="D7" s="5" t="s">
        <v>25</v>
      </c>
      <c r="E7" s="6" t="s">
        <v>26</v>
      </c>
      <c r="F7" s="6" t="s">
        <v>27</v>
      </c>
      <c r="G7" s="6" t="s">
        <v>28</v>
      </c>
      <c r="H7" s="6" t="s">
        <v>29</v>
      </c>
      <c r="I7" s="5" t="s">
        <v>30</v>
      </c>
      <c r="J7" s="5" t="s">
        <v>31</v>
      </c>
      <c r="K7" s="5" t="s">
        <v>32</v>
      </c>
      <c r="L7" s="5" t="s">
        <v>33</v>
      </c>
      <c r="M7" s="5" t="s">
        <v>34</v>
      </c>
      <c r="N7" s="48" t="s">
        <v>234</v>
      </c>
      <c r="O7" s="7">
        <v>38</v>
      </c>
      <c r="P7" s="5" t="s">
        <v>35</v>
      </c>
      <c r="Q7" s="18">
        <v>46129</v>
      </c>
      <c r="R7" s="19">
        <f t="shared" ref="R7:R18" ca="1" si="0">TODAY()-Q7</f>
        <v>38</v>
      </c>
      <c r="S7" s="37" t="s">
        <v>36</v>
      </c>
    </row>
    <row r="8" spans="2:19" ht="141.94999999999999" customHeight="1" x14ac:dyDescent="0.25">
      <c r="B8" s="8" t="s">
        <v>37</v>
      </c>
      <c r="C8" s="9" t="s">
        <v>38</v>
      </c>
      <c r="D8" s="10" t="s">
        <v>39</v>
      </c>
      <c r="E8" s="11" t="s">
        <v>175</v>
      </c>
      <c r="F8" s="11" t="s">
        <v>40</v>
      </c>
      <c r="G8" s="11" t="s">
        <v>41</v>
      </c>
      <c r="H8" s="11" t="s">
        <v>42</v>
      </c>
      <c r="I8" s="10" t="s">
        <v>43</v>
      </c>
      <c r="J8" s="10" t="s">
        <v>31</v>
      </c>
      <c r="K8" s="10" t="s">
        <v>32</v>
      </c>
      <c r="L8" s="10" t="s">
        <v>44</v>
      </c>
      <c r="M8" s="10" t="s">
        <v>45</v>
      </c>
      <c r="N8" s="49" t="s">
        <v>235</v>
      </c>
      <c r="O8" s="7">
        <v>0</v>
      </c>
      <c r="P8" s="10" t="s">
        <v>176</v>
      </c>
      <c r="Q8" s="20">
        <v>46142</v>
      </c>
      <c r="R8" s="21">
        <f t="shared" ca="1" si="0"/>
        <v>25</v>
      </c>
      <c r="S8" s="38" t="s">
        <v>46</v>
      </c>
    </row>
    <row r="9" spans="2:19" ht="141.94999999999999" customHeight="1" x14ac:dyDescent="0.25">
      <c r="B9" s="3" t="s">
        <v>47</v>
      </c>
      <c r="C9" s="4" t="s">
        <v>48</v>
      </c>
      <c r="D9" s="5" t="s">
        <v>49</v>
      </c>
      <c r="E9" s="6" t="s">
        <v>50</v>
      </c>
      <c r="F9" s="6" t="s">
        <v>51</v>
      </c>
      <c r="G9" s="6" t="s">
        <v>52</v>
      </c>
      <c r="H9" s="6" t="s">
        <v>53</v>
      </c>
      <c r="I9" s="5" t="s">
        <v>30</v>
      </c>
      <c r="J9" s="5" t="s">
        <v>31</v>
      </c>
      <c r="K9" s="5" t="s">
        <v>32</v>
      </c>
      <c r="L9" s="5" t="s">
        <v>54</v>
      </c>
      <c r="M9" s="5" t="s">
        <v>55</v>
      </c>
      <c r="N9" s="50" t="s">
        <v>236</v>
      </c>
      <c r="O9" s="12">
        <v>0</v>
      </c>
      <c r="P9" s="5" t="s">
        <v>56</v>
      </c>
      <c r="Q9" s="18">
        <v>46142</v>
      </c>
      <c r="R9" s="19">
        <f t="shared" ca="1" si="0"/>
        <v>25</v>
      </c>
      <c r="S9" s="37" t="s">
        <v>57</v>
      </c>
    </row>
    <row r="10" spans="2:19" ht="141.94999999999999" customHeight="1" x14ac:dyDescent="0.25">
      <c r="B10" s="8" t="s">
        <v>58</v>
      </c>
      <c r="C10" s="9" t="s">
        <v>59</v>
      </c>
      <c r="D10" s="10" t="s">
        <v>60</v>
      </c>
      <c r="E10" s="11" t="s">
        <v>61</v>
      </c>
      <c r="F10" s="11" t="s">
        <v>62</v>
      </c>
      <c r="G10" s="11" t="s">
        <v>63</v>
      </c>
      <c r="H10" s="11" t="s">
        <v>64</v>
      </c>
      <c r="I10" s="10" t="s">
        <v>65</v>
      </c>
      <c r="J10" s="10" t="s">
        <v>66</v>
      </c>
      <c r="K10" s="10" t="s">
        <v>67</v>
      </c>
      <c r="L10" s="10" t="s">
        <v>68</v>
      </c>
      <c r="M10" s="10" t="s">
        <v>69</v>
      </c>
      <c r="N10" s="51" t="s">
        <v>237</v>
      </c>
      <c r="O10" s="7">
        <v>38</v>
      </c>
      <c r="P10" s="10" t="s">
        <v>70</v>
      </c>
      <c r="Q10" s="20">
        <v>46129</v>
      </c>
      <c r="R10" s="21">
        <f t="shared" ca="1" si="0"/>
        <v>38</v>
      </c>
      <c r="S10" s="38" t="s">
        <v>248</v>
      </c>
    </row>
    <row r="11" spans="2:19" ht="141.75" customHeight="1" x14ac:dyDescent="0.25">
      <c r="B11" s="3" t="s">
        <v>71</v>
      </c>
      <c r="C11" s="4" t="s">
        <v>72</v>
      </c>
      <c r="D11" s="5" t="s">
        <v>73</v>
      </c>
      <c r="E11" s="6" t="s">
        <v>74</v>
      </c>
      <c r="F11" s="6" t="s">
        <v>75</v>
      </c>
      <c r="G11" s="6" t="s">
        <v>76</v>
      </c>
      <c r="H11" s="6" t="s">
        <v>53</v>
      </c>
      <c r="I11" s="5" t="s">
        <v>77</v>
      </c>
      <c r="J11" s="5" t="s">
        <v>31</v>
      </c>
      <c r="K11" s="5" t="s">
        <v>32</v>
      </c>
      <c r="L11" s="5" t="s">
        <v>33</v>
      </c>
      <c r="M11" s="5" t="s">
        <v>78</v>
      </c>
      <c r="N11" s="52" t="s">
        <v>238</v>
      </c>
      <c r="O11" s="7">
        <v>38</v>
      </c>
      <c r="P11" s="5" t="s">
        <v>79</v>
      </c>
      <c r="Q11" s="18">
        <v>46129</v>
      </c>
      <c r="R11" s="19">
        <f t="shared" ca="1" si="0"/>
        <v>38</v>
      </c>
      <c r="S11" s="37" t="s">
        <v>249</v>
      </c>
    </row>
    <row r="12" spans="2:19" ht="141.94999999999999" customHeight="1" x14ac:dyDescent="0.25">
      <c r="B12" s="8" t="s">
        <v>80</v>
      </c>
      <c r="C12" s="9" t="s">
        <v>81</v>
      </c>
      <c r="D12" s="10" t="s">
        <v>82</v>
      </c>
      <c r="E12" s="11" t="s">
        <v>83</v>
      </c>
      <c r="F12" s="11" t="s">
        <v>84</v>
      </c>
      <c r="G12" s="11" t="s">
        <v>85</v>
      </c>
      <c r="H12" s="11" t="s">
        <v>86</v>
      </c>
      <c r="I12" s="10" t="s">
        <v>65</v>
      </c>
      <c r="J12" s="10" t="s">
        <v>31</v>
      </c>
      <c r="K12" s="10" t="s">
        <v>32</v>
      </c>
      <c r="L12" s="10" t="s">
        <v>87</v>
      </c>
      <c r="M12" s="10" t="s">
        <v>69</v>
      </c>
      <c r="N12" s="52" t="s">
        <v>239</v>
      </c>
      <c r="O12" s="7">
        <v>38</v>
      </c>
      <c r="P12" s="10" t="s">
        <v>88</v>
      </c>
      <c r="Q12" s="20">
        <v>46129</v>
      </c>
      <c r="R12" s="21">
        <f t="shared" ca="1" si="0"/>
        <v>38</v>
      </c>
      <c r="S12" s="38" t="s">
        <v>250</v>
      </c>
    </row>
    <row r="13" spans="2:19" ht="141.94999999999999" customHeight="1" x14ac:dyDescent="0.25">
      <c r="B13" s="3" t="s">
        <v>89</v>
      </c>
      <c r="C13" s="4" t="s">
        <v>90</v>
      </c>
      <c r="D13" s="5" t="s">
        <v>91</v>
      </c>
      <c r="E13" s="6" t="s">
        <v>50</v>
      </c>
      <c r="F13" s="6" t="s">
        <v>92</v>
      </c>
      <c r="G13" s="6" t="s">
        <v>93</v>
      </c>
      <c r="H13" s="6" t="s">
        <v>94</v>
      </c>
      <c r="I13" s="5" t="s">
        <v>95</v>
      </c>
      <c r="J13" s="5" t="s">
        <v>31</v>
      </c>
      <c r="K13" s="5" t="s">
        <v>32</v>
      </c>
      <c r="L13" s="5" t="s">
        <v>68</v>
      </c>
      <c r="M13" s="5" t="s">
        <v>96</v>
      </c>
      <c r="N13" s="51" t="s">
        <v>240</v>
      </c>
      <c r="O13" s="7">
        <v>38</v>
      </c>
      <c r="P13" s="5" t="s">
        <v>97</v>
      </c>
      <c r="Q13" s="18">
        <v>46129</v>
      </c>
      <c r="R13" s="19">
        <f t="shared" ca="1" si="0"/>
        <v>38</v>
      </c>
      <c r="S13" s="37" t="s">
        <v>251</v>
      </c>
    </row>
    <row r="14" spans="2:19" ht="141.94999999999999" customHeight="1" x14ac:dyDescent="0.25">
      <c r="B14" s="8" t="s">
        <v>98</v>
      </c>
      <c r="C14" s="9" t="s">
        <v>99</v>
      </c>
      <c r="D14" s="10" t="s">
        <v>100</v>
      </c>
      <c r="E14" s="11" t="s">
        <v>101</v>
      </c>
      <c r="F14" s="11" t="s">
        <v>102</v>
      </c>
      <c r="G14" s="11" t="s">
        <v>103</v>
      </c>
      <c r="H14" s="11" t="s">
        <v>104</v>
      </c>
      <c r="I14" s="10" t="s">
        <v>77</v>
      </c>
      <c r="J14" s="10" t="s">
        <v>105</v>
      </c>
      <c r="K14" s="10" t="s">
        <v>67</v>
      </c>
      <c r="L14" s="10" t="s">
        <v>106</v>
      </c>
      <c r="M14" s="10" t="s">
        <v>107</v>
      </c>
      <c r="N14" s="51" t="s">
        <v>241</v>
      </c>
      <c r="O14" s="7">
        <v>38</v>
      </c>
      <c r="P14" s="10" t="s">
        <v>108</v>
      </c>
      <c r="Q14" s="20">
        <v>46146</v>
      </c>
      <c r="R14" s="21">
        <f t="shared" ca="1" si="0"/>
        <v>21</v>
      </c>
      <c r="S14" s="38" t="s">
        <v>109</v>
      </c>
    </row>
    <row r="15" spans="2:19" ht="141.94999999999999" customHeight="1" x14ac:dyDescent="0.25">
      <c r="B15" s="3" t="s">
        <v>110</v>
      </c>
      <c r="C15" s="4" t="s">
        <v>111</v>
      </c>
      <c r="D15" s="5" t="s">
        <v>112</v>
      </c>
      <c r="E15" s="6" t="s">
        <v>113</v>
      </c>
      <c r="F15" s="6" t="s">
        <v>114</v>
      </c>
      <c r="G15" s="6" t="s">
        <v>115</v>
      </c>
      <c r="H15" s="6" t="s">
        <v>116</v>
      </c>
      <c r="I15" s="5" t="s">
        <v>30</v>
      </c>
      <c r="J15" s="5" t="s">
        <v>31</v>
      </c>
      <c r="K15" s="5" t="s">
        <v>32</v>
      </c>
      <c r="L15" s="5" t="s">
        <v>117</v>
      </c>
      <c r="M15" s="5" t="s">
        <v>118</v>
      </c>
      <c r="N15" s="53" t="s">
        <v>242</v>
      </c>
      <c r="O15" s="7">
        <v>19</v>
      </c>
      <c r="P15" s="5" t="s">
        <v>119</v>
      </c>
      <c r="Q15" s="18">
        <v>46130</v>
      </c>
      <c r="R15" s="19">
        <f t="shared" ca="1" si="0"/>
        <v>37</v>
      </c>
      <c r="S15" s="37" t="s">
        <v>120</v>
      </c>
    </row>
    <row r="16" spans="2:19" ht="141.94999999999999" customHeight="1" x14ac:dyDescent="0.25">
      <c r="B16" s="8" t="s">
        <v>121</v>
      </c>
      <c r="C16" s="9" t="s">
        <v>122</v>
      </c>
      <c r="D16" s="10" t="s">
        <v>123</v>
      </c>
      <c r="E16" s="11" t="s">
        <v>124</v>
      </c>
      <c r="F16" s="11" t="s">
        <v>125</v>
      </c>
      <c r="G16" s="11" t="s">
        <v>126</v>
      </c>
      <c r="H16" s="11" t="s">
        <v>127</v>
      </c>
      <c r="I16" s="10" t="s">
        <v>77</v>
      </c>
      <c r="J16" s="10" t="s">
        <v>31</v>
      </c>
      <c r="K16" s="10" t="s">
        <v>32</v>
      </c>
      <c r="L16" s="10" t="s">
        <v>128</v>
      </c>
      <c r="M16" s="10" t="s">
        <v>129</v>
      </c>
      <c r="N16" s="48" t="s">
        <v>243</v>
      </c>
      <c r="O16" s="12">
        <v>38</v>
      </c>
      <c r="P16" s="10" t="s">
        <v>130</v>
      </c>
      <c r="Q16" s="20">
        <v>46135</v>
      </c>
      <c r="R16" s="21">
        <f t="shared" ca="1" si="0"/>
        <v>32</v>
      </c>
      <c r="S16" s="38" t="s">
        <v>252</v>
      </c>
    </row>
    <row r="17" spans="2:19" ht="141.94999999999999" customHeight="1" x14ac:dyDescent="0.25">
      <c r="B17" s="3" t="s">
        <v>131</v>
      </c>
      <c r="C17" s="4" t="s">
        <v>132</v>
      </c>
      <c r="D17" s="5" t="s">
        <v>133</v>
      </c>
      <c r="E17" s="6" t="s">
        <v>134</v>
      </c>
      <c r="F17" s="6" t="s">
        <v>135</v>
      </c>
      <c r="G17" s="6" t="s">
        <v>136</v>
      </c>
      <c r="H17" s="6" t="s">
        <v>137</v>
      </c>
      <c r="I17" s="5" t="s">
        <v>95</v>
      </c>
      <c r="J17" s="5" t="s">
        <v>31</v>
      </c>
      <c r="K17" s="5" t="s">
        <v>32</v>
      </c>
      <c r="L17" s="5" t="s">
        <v>138</v>
      </c>
      <c r="M17" s="5" t="s">
        <v>139</v>
      </c>
      <c r="N17" s="49" t="s">
        <v>244</v>
      </c>
      <c r="O17" s="7">
        <v>0</v>
      </c>
      <c r="P17" s="5" t="s">
        <v>177</v>
      </c>
      <c r="Q17" s="18">
        <v>46129</v>
      </c>
      <c r="R17" s="19">
        <f t="shared" ca="1" si="0"/>
        <v>38</v>
      </c>
      <c r="S17" s="37" t="s">
        <v>140</v>
      </c>
    </row>
    <row r="18" spans="2:19" ht="24.95" customHeight="1" x14ac:dyDescent="0.25">
      <c r="B18" s="3" t="s">
        <v>141</v>
      </c>
      <c r="C18" s="4" t="s">
        <v>142</v>
      </c>
      <c r="D18" s="5" t="s">
        <v>143</v>
      </c>
      <c r="E18" s="6" t="s">
        <v>144</v>
      </c>
      <c r="F18" s="6" t="s">
        <v>145</v>
      </c>
      <c r="G18" s="6" t="s">
        <v>146</v>
      </c>
      <c r="H18" s="6" t="s">
        <v>116</v>
      </c>
      <c r="I18" s="5" t="s">
        <v>147</v>
      </c>
      <c r="J18" s="5" t="s">
        <v>31</v>
      </c>
      <c r="K18" s="5" t="s">
        <v>32</v>
      </c>
      <c r="L18" s="5" t="s">
        <v>148</v>
      </c>
      <c r="M18" s="5" t="s">
        <v>149</v>
      </c>
      <c r="N18" s="49" t="s">
        <v>245</v>
      </c>
      <c r="O18" s="7">
        <v>0</v>
      </c>
      <c r="P18" s="5" t="s">
        <v>150</v>
      </c>
      <c r="Q18" s="18">
        <v>46157</v>
      </c>
      <c r="R18" s="19">
        <f t="shared" ca="1" si="0"/>
        <v>10</v>
      </c>
      <c r="S18" s="37" t="s">
        <v>151</v>
      </c>
    </row>
    <row r="19" spans="2:19" x14ac:dyDescent="0.25">
      <c r="B19" s="27" t="s">
        <v>152</v>
      </c>
      <c r="C19" s="25"/>
      <c r="D19" s="25"/>
      <c r="E19" s="25"/>
      <c r="F19" s="25"/>
      <c r="G19" s="25"/>
      <c r="H19" s="25"/>
      <c r="I19" s="25"/>
      <c r="J19" s="25"/>
      <c r="K19" s="25"/>
      <c r="L19" s="26"/>
      <c r="M19" s="13" t="s">
        <v>153</v>
      </c>
      <c r="N19" s="14" t="s">
        <v>154</v>
      </c>
      <c r="O19" s="15">
        <f>SUM(O7:O18)</f>
        <v>285</v>
      </c>
    </row>
    <row r="20" spans="2:19" ht="15.75" customHeight="1" x14ac:dyDescent="0.25"/>
    <row r="21" spans="2:19" ht="13.5" customHeight="1" x14ac:dyDescent="0.25">
      <c r="B21" s="22" t="s">
        <v>155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</row>
    <row r="22" spans="2:19" ht="13.5" customHeight="1" x14ac:dyDescent="0.25">
      <c r="B22" s="32" t="s">
        <v>156</v>
      </c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6"/>
    </row>
    <row r="23" spans="2:19" ht="13.5" customHeight="1" x14ac:dyDescent="0.25">
      <c r="B23" s="32" t="s">
        <v>157</v>
      </c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6"/>
    </row>
    <row r="24" spans="2:19" ht="13.5" customHeight="1" x14ac:dyDescent="0.25">
      <c r="B24" s="32" t="s">
        <v>158</v>
      </c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6"/>
    </row>
    <row r="25" spans="2:19" ht="15" customHeight="1" x14ac:dyDescent="0.25">
      <c r="B25" s="47" t="s">
        <v>246</v>
      </c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6"/>
    </row>
    <row r="26" spans="2:19" x14ac:dyDescent="0.25">
      <c r="B26" s="47" t="s">
        <v>247</v>
      </c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6"/>
    </row>
  </sheetData>
  <mergeCells count="14">
    <mergeCell ref="B26:S26"/>
    <mergeCell ref="N3:S3"/>
    <mergeCell ref="E3:G3"/>
    <mergeCell ref="B23:S23"/>
    <mergeCell ref="B25:S25"/>
    <mergeCell ref="B24:S24"/>
    <mergeCell ref="B19:L19"/>
    <mergeCell ref="B22:S22"/>
    <mergeCell ref="H3:J3"/>
    <mergeCell ref="B21:S21"/>
    <mergeCell ref="B3:D3"/>
    <mergeCell ref="B2:N2"/>
    <mergeCell ref="K3:M3"/>
    <mergeCell ref="O2:S2"/>
  </mergeCells>
  <conditionalFormatting sqref="L7:L18">
    <cfRule type="expression" dxfId="18" priority="16" stopIfTrue="1">
      <formula>ISNUMBER(SEARCH("DEFCON 4",L7))</formula>
    </cfRule>
    <cfRule type="expression" dxfId="17" priority="17" stopIfTrue="1">
      <formula>ISNUMBER(SEARCH("DEFCON 3",L7))</formula>
    </cfRule>
    <cfRule type="expression" dxfId="16" priority="18" stopIfTrue="1">
      <formula>ISNUMBER(SEARCH("DEFCON 2",L7))</formula>
    </cfRule>
    <cfRule type="expression" dxfId="15" priority="19" stopIfTrue="1">
      <formula>ISNUMBER(SEARCH("DEFCON 1",L7))</formula>
    </cfRule>
  </conditionalFormatting>
  <conditionalFormatting sqref="M7:M18">
    <cfRule type="cellIs" dxfId="14" priority="7" operator="lessThan">
      <formula>0</formula>
    </cfRule>
    <cfRule type="cellIs" dxfId="13" priority="8" operator="greaterThan">
      <formula>0</formula>
    </cfRule>
    <cfRule type="cellIs" dxfId="12" priority="9" operator="equal">
      <formula>0</formula>
    </cfRule>
  </conditionalFormatting>
  <conditionalFormatting sqref="N7:N18">
    <cfRule type="expression" dxfId="11" priority="20" stopIfTrue="1">
      <formula>LEFT(N7,1)="🔴"</formula>
    </cfRule>
    <cfRule type="expression" dxfId="10" priority="21" stopIfTrue="1">
      <formula>ISNUMBER(SEARCH("FLAG",N7))</formula>
    </cfRule>
    <cfRule type="expression" dxfId="9" priority="22" stopIfTrue="1">
      <formula>LEFT(N7,1)="🟠"</formula>
    </cfRule>
    <cfRule type="expression" dxfId="8" priority="23" stopIfTrue="1">
      <formula>LEFT(N7,1)="🟡"</formula>
    </cfRule>
    <cfRule type="expression" dxfId="7" priority="24" stopIfTrue="1">
      <formula>ISNUMBER(SEARCH("DEFCON 3",N7))</formula>
    </cfRule>
    <cfRule type="expression" dxfId="6" priority="25" stopIfTrue="1">
      <formula>LEFT(N7,1)="🟢"</formula>
    </cfRule>
    <cfRule type="expression" dxfId="5" priority="26" stopIfTrue="1">
      <formula>ISNUMBER(SEARCH("Halten",N7))</formula>
    </cfRule>
  </conditionalFormatting>
  <conditionalFormatting sqref="O7:O18"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R7:R18">
    <cfRule type="cellIs" dxfId="2" priority="10" operator="lessThanOrEqual">
      <formula>30</formula>
    </cfRule>
    <cfRule type="cellIs" dxfId="1" priority="11" operator="between">
      <formula>31</formula>
      <formula>90</formula>
    </cfRule>
    <cfRule type="cellIs" dxfId="0" priority="12" operator="greaterThan">
      <formula>90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0000"/>
  </sheetPr>
  <dimension ref="B1:I23"/>
  <sheetViews>
    <sheetView tabSelected="1" zoomScaleNormal="100" workbookViewId="0">
      <pane xSplit="1" ySplit="5" topLeftCell="B13" activePane="bottomRight" state="frozen"/>
      <selection pane="topRight" activeCell="B1" sqref="B1"/>
      <selection pane="bottomLeft" activeCell="A6" sqref="A6"/>
      <selection pane="bottomRight" activeCell="N7" sqref="N7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6" width="13" customWidth="1"/>
    <col min="7" max="9" width="16" customWidth="1"/>
  </cols>
  <sheetData>
    <row r="1" spans="2:9" ht="6" customHeight="1" x14ac:dyDescent="0.25"/>
    <row r="2" spans="2:9" ht="40.5" customHeight="1" x14ac:dyDescent="0.25">
      <c r="B2" s="29" t="s">
        <v>178</v>
      </c>
      <c r="C2" s="23"/>
      <c r="D2" s="23"/>
      <c r="E2" s="23"/>
      <c r="F2" s="23"/>
      <c r="G2" s="23"/>
      <c r="H2" s="23"/>
      <c r="I2" s="23"/>
    </row>
    <row r="3" spans="2:9" ht="30.75" customHeight="1" x14ac:dyDescent="0.25">
      <c r="B3" s="54" t="s">
        <v>193</v>
      </c>
      <c r="C3" s="23"/>
      <c r="D3" s="23"/>
      <c r="E3" s="23"/>
      <c r="F3" s="23"/>
      <c r="G3" s="23"/>
      <c r="H3" s="23"/>
      <c r="I3" s="23"/>
    </row>
    <row r="4" spans="2:9" ht="11.25" customHeight="1" x14ac:dyDescent="0.25"/>
    <row r="5" spans="2:9" ht="30" customHeight="1" x14ac:dyDescent="0.25">
      <c r="B5" s="2" t="s">
        <v>5</v>
      </c>
      <c r="C5" s="2" t="s">
        <v>6</v>
      </c>
      <c r="D5" s="2" t="s">
        <v>159</v>
      </c>
      <c r="E5" s="2" t="s">
        <v>160</v>
      </c>
      <c r="F5" s="2" t="s">
        <v>161</v>
      </c>
      <c r="G5" s="2" t="s">
        <v>162</v>
      </c>
      <c r="H5" s="2" t="s">
        <v>163</v>
      </c>
      <c r="I5" s="2" t="s">
        <v>164</v>
      </c>
    </row>
    <row r="6" spans="2:9" ht="129.94999999999999" customHeight="1" x14ac:dyDescent="0.25">
      <c r="B6" s="3" t="s">
        <v>23</v>
      </c>
      <c r="C6" s="5" t="s">
        <v>170</v>
      </c>
      <c r="D6" s="39" t="s">
        <v>194</v>
      </c>
      <c r="E6" s="40" t="s">
        <v>195</v>
      </c>
      <c r="F6" s="40" t="s">
        <v>196</v>
      </c>
      <c r="G6" s="31" t="s">
        <v>167</v>
      </c>
      <c r="H6" s="41" t="s">
        <v>197</v>
      </c>
      <c r="I6" s="16" t="s">
        <v>179</v>
      </c>
    </row>
    <row r="7" spans="2:9" ht="129.94999999999999" customHeight="1" x14ac:dyDescent="0.25">
      <c r="B7" s="8" t="s">
        <v>37</v>
      </c>
      <c r="C7" s="10" t="s">
        <v>165</v>
      </c>
      <c r="D7" s="39" t="s">
        <v>198</v>
      </c>
      <c r="E7" s="39" t="s">
        <v>199</v>
      </c>
      <c r="F7" s="40" t="s">
        <v>196</v>
      </c>
      <c r="G7" s="42" t="s">
        <v>200</v>
      </c>
      <c r="H7" s="42" t="s">
        <v>201</v>
      </c>
      <c r="I7" s="17" t="s">
        <v>180</v>
      </c>
    </row>
    <row r="8" spans="2:9" ht="129.94999999999999" customHeight="1" x14ac:dyDescent="0.25">
      <c r="B8" s="3" t="s">
        <v>47</v>
      </c>
      <c r="C8" s="5" t="s">
        <v>172</v>
      </c>
      <c r="D8" s="43" t="s">
        <v>202</v>
      </c>
      <c r="E8" s="39" t="s">
        <v>203</v>
      </c>
      <c r="F8" s="40" t="s">
        <v>196</v>
      </c>
      <c r="G8" s="42" t="s">
        <v>204</v>
      </c>
      <c r="H8" s="42" t="s">
        <v>205</v>
      </c>
      <c r="I8" s="16" t="s">
        <v>181</v>
      </c>
    </row>
    <row r="9" spans="2:9" ht="129.94999999999999" customHeight="1" x14ac:dyDescent="0.25">
      <c r="B9" s="8" t="s">
        <v>58</v>
      </c>
      <c r="C9" s="10" t="s">
        <v>166</v>
      </c>
      <c r="D9" s="40" t="s">
        <v>206</v>
      </c>
      <c r="E9" s="40" t="s">
        <v>207</v>
      </c>
      <c r="F9" s="40" t="s">
        <v>196</v>
      </c>
      <c r="G9" s="31" t="s">
        <v>167</v>
      </c>
      <c r="H9" s="44" t="s">
        <v>208</v>
      </c>
      <c r="I9" s="17" t="s">
        <v>182</v>
      </c>
    </row>
    <row r="10" spans="2:9" ht="129.94999999999999" customHeight="1" x14ac:dyDescent="0.25">
      <c r="B10" s="3" t="s">
        <v>71</v>
      </c>
      <c r="C10" s="5" t="s">
        <v>171</v>
      </c>
      <c r="D10" s="43" t="s">
        <v>209</v>
      </c>
      <c r="E10" s="40" t="s">
        <v>210</v>
      </c>
      <c r="F10" s="40" t="s">
        <v>196</v>
      </c>
      <c r="G10" s="31" t="s">
        <v>167</v>
      </c>
      <c r="H10" s="44" t="s">
        <v>208</v>
      </c>
      <c r="I10" s="16" t="s">
        <v>183</v>
      </c>
    </row>
    <row r="11" spans="2:9" ht="129.94999999999999" customHeight="1" x14ac:dyDescent="0.25">
      <c r="B11" s="8" t="s">
        <v>80</v>
      </c>
      <c r="C11" s="10" t="s">
        <v>81</v>
      </c>
      <c r="D11" s="43" t="s">
        <v>211</v>
      </c>
      <c r="E11" s="40" t="s">
        <v>212</v>
      </c>
      <c r="F11" s="40" t="s">
        <v>196</v>
      </c>
      <c r="G11" s="31" t="s">
        <v>167</v>
      </c>
      <c r="H11" s="44" t="s">
        <v>208</v>
      </c>
      <c r="I11" s="17" t="s">
        <v>184</v>
      </c>
    </row>
    <row r="12" spans="2:9" ht="129.94999999999999" customHeight="1" x14ac:dyDescent="0.25">
      <c r="B12" s="3" t="s">
        <v>89</v>
      </c>
      <c r="C12" s="5" t="s">
        <v>185</v>
      </c>
      <c r="D12" s="43" t="s">
        <v>213</v>
      </c>
      <c r="E12" s="43" t="s">
        <v>214</v>
      </c>
      <c r="F12" s="40" t="s">
        <v>196</v>
      </c>
      <c r="G12" s="31" t="s">
        <v>167</v>
      </c>
      <c r="H12" s="44" t="s">
        <v>208</v>
      </c>
      <c r="I12" s="16" t="s">
        <v>186</v>
      </c>
    </row>
    <row r="13" spans="2:9" ht="129.94999999999999" customHeight="1" x14ac:dyDescent="0.25">
      <c r="B13" s="8" t="s">
        <v>98</v>
      </c>
      <c r="C13" s="10" t="s">
        <v>99</v>
      </c>
      <c r="D13" s="40" t="s">
        <v>215</v>
      </c>
      <c r="E13" s="40" t="s">
        <v>216</v>
      </c>
      <c r="F13" s="40" t="s">
        <v>196</v>
      </c>
      <c r="G13" s="31" t="s">
        <v>167</v>
      </c>
      <c r="H13" s="44" t="s">
        <v>208</v>
      </c>
      <c r="I13" s="17" t="s">
        <v>187</v>
      </c>
    </row>
    <row r="14" spans="2:9" ht="129.94999999999999" customHeight="1" x14ac:dyDescent="0.25">
      <c r="B14" s="3" t="s">
        <v>110</v>
      </c>
      <c r="C14" s="5" t="s">
        <v>168</v>
      </c>
      <c r="D14" s="40" t="s">
        <v>217</v>
      </c>
      <c r="E14" s="39" t="s">
        <v>218</v>
      </c>
      <c r="F14" s="40" t="s">
        <v>196</v>
      </c>
      <c r="G14" s="41" t="s">
        <v>219</v>
      </c>
      <c r="H14" s="41" t="s">
        <v>220</v>
      </c>
      <c r="I14" s="16" t="s">
        <v>188</v>
      </c>
    </row>
    <row r="15" spans="2:9" ht="129.94999999999999" customHeight="1" x14ac:dyDescent="0.25">
      <c r="B15" s="8" t="s">
        <v>121</v>
      </c>
      <c r="C15" s="10" t="s">
        <v>173</v>
      </c>
      <c r="D15" s="40" t="s">
        <v>221</v>
      </c>
      <c r="E15" s="40" t="s">
        <v>222</v>
      </c>
      <c r="F15" s="40" t="s">
        <v>196</v>
      </c>
      <c r="G15" s="31" t="s">
        <v>167</v>
      </c>
      <c r="H15" s="41" t="s">
        <v>197</v>
      </c>
      <c r="I15" s="17" t="s">
        <v>189</v>
      </c>
    </row>
    <row r="16" spans="2:9" ht="129.94999999999999" customHeight="1" x14ac:dyDescent="0.25">
      <c r="B16" s="3" t="s">
        <v>131</v>
      </c>
      <c r="C16" s="5" t="s">
        <v>169</v>
      </c>
      <c r="D16" s="40" t="s">
        <v>223</v>
      </c>
      <c r="E16" s="40" t="s">
        <v>224</v>
      </c>
      <c r="F16" s="40" t="s">
        <v>196</v>
      </c>
      <c r="G16" s="42" t="s">
        <v>225</v>
      </c>
      <c r="H16" s="42" t="s">
        <v>201</v>
      </c>
      <c r="I16" s="16" t="s">
        <v>190</v>
      </c>
    </row>
    <row r="17" spans="2:9" ht="96" x14ac:dyDescent="0.25">
      <c r="B17" s="3" t="s">
        <v>141</v>
      </c>
      <c r="C17" s="5" t="s">
        <v>142</v>
      </c>
      <c r="D17" s="39" t="s">
        <v>226</v>
      </c>
      <c r="E17" s="39" t="s">
        <v>227</v>
      </c>
      <c r="F17" s="40" t="s">
        <v>196</v>
      </c>
      <c r="G17" s="42" t="s">
        <v>228</v>
      </c>
      <c r="H17" s="42" t="s">
        <v>201</v>
      </c>
      <c r="I17" s="16" t="s">
        <v>191</v>
      </c>
    </row>
    <row r="19" spans="2:9" ht="15.75" customHeight="1" x14ac:dyDescent="0.25">
      <c r="B19" s="28" t="s">
        <v>174</v>
      </c>
      <c r="C19" s="25"/>
      <c r="D19" s="25"/>
      <c r="E19" s="25"/>
      <c r="F19" s="25"/>
      <c r="G19" s="25"/>
      <c r="H19" s="25"/>
      <c r="I19" s="26"/>
    </row>
    <row r="20" spans="2:9" ht="13.5" customHeight="1" x14ac:dyDescent="0.25">
      <c r="B20" s="45" t="s">
        <v>229</v>
      </c>
      <c r="C20" s="25"/>
      <c r="D20" s="25"/>
      <c r="E20" s="25"/>
      <c r="F20" s="25"/>
      <c r="G20" s="25"/>
      <c r="H20" s="25"/>
      <c r="I20" s="26"/>
    </row>
    <row r="21" spans="2:9" ht="13.5" customHeight="1" x14ac:dyDescent="0.25">
      <c r="B21" s="46" t="s">
        <v>230</v>
      </c>
      <c r="C21" s="25"/>
      <c r="D21" s="25"/>
      <c r="E21" s="25"/>
      <c r="F21" s="25"/>
      <c r="G21" s="25"/>
      <c r="H21" s="25"/>
      <c r="I21" s="26"/>
    </row>
    <row r="22" spans="2:9" ht="13.5" customHeight="1" x14ac:dyDescent="0.25">
      <c r="B22" s="47" t="s">
        <v>231</v>
      </c>
      <c r="C22" s="25"/>
      <c r="D22" s="25"/>
      <c r="E22" s="25"/>
      <c r="F22" s="25"/>
      <c r="G22" s="25"/>
      <c r="H22" s="25"/>
      <c r="I22" s="26"/>
    </row>
    <row r="23" spans="2:9" ht="13.5" customHeight="1" x14ac:dyDescent="0.25">
      <c r="B23" s="32" t="s">
        <v>192</v>
      </c>
      <c r="C23" s="25"/>
      <c r="D23" s="25"/>
      <c r="E23" s="25"/>
      <c r="F23" s="25"/>
      <c r="G23" s="25"/>
      <c r="H23" s="25"/>
      <c r="I23" s="26"/>
    </row>
  </sheetData>
  <mergeCells count="7">
    <mergeCell ref="B23:I23"/>
    <mergeCell ref="B21:I21"/>
    <mergeCell ref="B2:I2"/>
    <mergeCell ref="B20:I20"/>
    <mergeCell ref="B3:I3"/>
    <mergeCell ref="B22:I22"/>
    <mergeCell ref="B19:I19"/>
  </mergeCell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Satelliten Monitor</vt:lpstr>
      <vt:lpstr>QuickScreen Ampel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cp:revision>0</cp:revision>
  <dcterms:created xsi:type="dcterms:W3CDTF">2026-04-02T15:20:51Z</dcterms:created>
  <dcterms:modified xsi:type="dcterms:W3CDTF">2026-05-25T14:44:58Z</dcterms:modified>
  <dc:language>en-US</dc:language>
</cp:coreProperties>
</file>