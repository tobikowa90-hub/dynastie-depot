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Satelliten Monitor" sheetId="1" state="visible" r:id="rId1"/>
    <sheet xmlns:r="http://schemas.openxmlformats.org/officeDocument/2006/relationships" name="QuickScreen Ampel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€#,##0.00"/>
    <numFmt numFmtId="165" formatCode="yyyy\-mm\-dd\ h:mm:ss"/>
    <numFmt numFmtId="166" formatCode="DD.MM.YYYY"/>
  </numFmts>
  <fonts count="11">
    <font>
      <name val="Calibri"/>
      <charset val="1"/>
      <family val="2"/>
      <color theme="1"/>
      <sz val="11"/>
    </font>
    <font>
      <name val="Calibri"/>
      <charset val="1"/>
      <b val="1"/>
      <color rgb="FFFFFFFF"/>
      <sz val="12"/>
    </font>
    <font>
      <name val="Calibri"/>
      <charset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sz val="9"/>
    </font>
    <font>
      <name val="Calibri"/>
      <charset val="1"/>
      <sz val="9"/>
    </font>
    <font>
      <name val="Calibri"/>
      <charset val="1"/>
      <color rgb="FF0000FF"/>
      <sz val="9"/>
    </font>
    <font>
      <name val="Calibri"/>
      <charset val="1"/>
      <color rgb="FF000000"/>
      <sz val="9"/>
    </font>
    <font>
      <name val="Calibri"/>
      <charset val="1"/>
      <i val="1"/>
      <color rgb="FF888888"/>
      <sz val="9"/>
    </font>
    <font>
      <name val="Calibri"/>
      <charset val="1"/>
      <b val="1"/>
      <color rgb="FFFFFFFF"/>
      <sz val="9"/>
    </font>
    <font>
      <name val="Calibri"/>
      <charset val="1"/>
      <color rgb="FF444444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2E4B7C"/>
      </patternFill>
    </fill>
    <fill>
      <patternFill patternType="solid">
        <fgColor rgb="FF2E4B7C"/>
        <bgColor rgb="FF1F3864"/>
      </patternFill>
    </fill>
    <fill>
      <patternFill patternType="solid">
        <fgColor rgb="FFF2F2F2"/>
        <bgColor rgb="FFF5F5F5"/>
      </patternFill>
    </fill>
    <fill>
      <patternFill patternType="solid">
        <fgColor rgb="FFFAFAFA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EBF3F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D6F0DA"/>
      </patternFill>
    </fill>
    <fill>
      <patternFill patternType="solid">
        <fgColor rgb="FFFFE0E0"/>
        <bgColor rgb="FFFCE4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164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2" fillId="2" borderId="0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indent="1"/>
    </xf>
    <xf numFmtId="0" fontId="1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left" vertical="center" wrapText="1" indent="1"/>
    </xf>
    <xf numFmtId="166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</cellXfs>
  <cellStyles count="1">
    <cellStyle name="Standard" xfId="0" builtinId="0"/>
  </cellStyles>
  <dxfs count="19">
    <dxf>
      <font>
        <b val="1"/>
        <color rgb="FFCC0000"/>
        <sz val="9"/>
      </font>
      <fill>
        <patternFill>
          <bgColor rgb="FFFFD0D0"/>
        </patternFill>
      </fill>
    </dxf>
    <dxf>
      <fill>
        <patternFill>
          <bgColor rgb="FFFFF2CC"/>
        </patternFill>
      </fill>
    </dxf>
    <dxf>
      <fill>
        <patternFill>
          <bgColor rgb="FFD6F0DA"/>
        </patternFill>
      </fill>
    </dxf>
    <dxf>
      <fill>
        <patternFill>
          <bgColor rgb="FFD6F0DA"/>
        </patternFill>
      </fill>
    </dxf>
    <dxf>
      <fill>
        <patternFill>
          <bgColor rgb="FFFFD0D0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5F5F5"/>
        </patternFill>
      </fill>
    </dxf>
    <dxf>
      <font>
        <b val="1"/>
        <color rgb="FF006600"/>
        <sz val="9"/>
      </font>
      <fill>
        <patternFill>
          <bgColor rgb="FFD6F0DA"/>
        </patternFill>
      </fill>
    </dxf>
    <dxf>
      <font>
        <b val="1"/>
        <color rgb="FFCC0000"/>
        <sz val="9"/>
      </font>
      <fill>
        <patternFill>
          <bgColor rgb="FFFF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BF3FF"/>
      <rgbColor rgb="FF660066"/>
      <rgbColor rgb="FFFF8080"/>
      <rgbColor rgb="FF0066CC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6F0DA"/>
      <rgbColor rgb="FFFCE4D6"/>
      <rgbColor rgb="FFF2F2F2"/>
      <rgbColor rgb="FFF5F5F5"/>
      <rgbColor rgb="FFFAFAFA"/>
      <rgbColor rgb="FFFF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B7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S25"/>
  <sheetViews>
    <sheetView tabSelected="1" zoomScaleNormal="100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A3" sqref="A3:XFD3"/>
    </sheetView>
  </sheetViews>
  <sheetFormatPr baseColWidth="10" defaultColWidth="9.140625" defaultRowHeight="15"/>
  <cols>
    <col width="2" customWidth="1" style="30" min="1" max="1"/>
    <col width="7" customWidth="1" style="30" min="2" max="2"/>
    <col width="18" customWidth="1" style="30" min="3" max="3"/>
    <col width="14" customWidth="1" style="30" min="4" max="4"/>
    <col width="12" customWidth="1" style="30" min="5" max="5"/>
    <col width="10" customWidth="1" style="30" min="6" max="6"/>
    <col width="11" customWidth="1" style="30" min="7" max="7"/>
    <col width="10" customWidth="1" style="30" min="8" max="8"/>
    <col width="13" customWidth="1" style="30" min="9" max="9"/>
    <col width="14" customWidth="1" style="30" min="10" max="10"/>
    <col width="8" customWidth="1" style="30" min="11" max="11"/>
    <col width="14" customWidth="1" style="30" min="12" max="12"/>
    <col width="8" customWidth="1" style="30" min="13" max="13"/>
    <col width="21.28515625" customWidth="1" style="30" min="14" max="14"/>
    <col width="10" customWidth="1" style="30" min="15" max="15"/>
    <col width="13" customWidth="1" style="30" min="16" max="16"/>
    <col width="11" customWidth="1" style="30" min="17" max="17"/>
    <col width="9" customWidth="1" style="30" min="18" max="18"/>
    <col width="48" customWidth="1" style="30" min="19" max="19"/>
  </cols>
  <sheetData>
    <row r="1" ht="6" customHeight="1" s="30"/>
    <row r="2" ht="27.75" customHeight="1" s="30">
      <c r="B2" s="35" t="inlineStr">
        <is>
          <t>🦅  DYNASTIEDEPOT – SATELLITEN MONITOR v2.0</t>
        </is>
      </c>
      <c r="O2" s="31" t="inlineStr">
        <is>
          <t>Stand: 04.05.2026 abends post-US-Close (BRK.B Q1 FY26 Tag-+1 Vollanalyse + Codex-R1-Korrektur Score 75→71)  |  Broker: Scalable Capital  |  Slots: 11/11</t>
        </is>
      </c>
    </row>
    <row r="3" ht="57.95" customHeight="1" s="30">
      <c r="B3" s="29" t="inlineStr">
        <is>
          <t>Sparrate Satelliten: 285 €/Monat  |  D3/D4-Rate: 38,00€  |  D2-Sockelbetrag: 19,00€ (50%)  |  Nenner 7.5 (v3.7 unverändert post-APH-Score-Move 30.04. — FLAG-Regime stabil)</t>
        </is>
      </c>
      <c r="E3" s="33" t="inlineStr">
        <is>
          <t>Vollanalysiert: 11 / 11 ✅  |  Geschätzt: 0 / 11</t>
        </is>
      </c>
      <c r="H3" s="33" t="inlineStr">
        <is>
          <t>Eingefroren: MSFT (🔴 CapEx/OCF &gt;60%, D2) | APH (🔴 Score-basiert 61, D2) | AVGO (🔴 Insider-Selling 90d $106M+, ab 27.04.) — Sparrate 0€</t>
        </is>
      </c>
      <c r="K3" s="33" t="inlineStr">
        <is>
          <t>Ergebnis: 🟢 7 Voll  🟠 1 D2-Sockelbetrag (V)  🔴 3 Eingefroren (MSFT, APH, AVGO)</t>
        </is>
      </c>
      <c r="N3" s="34" t="inlineStr">
        <is>
          <t>Quellen: Vollanalyse [V] | Kalibrierungsanalyse [KB] | Schätzung [~] | Tariff-Check [TC]</t>
        </is>
      </c>
    </row>
    <row r="4" ht="18" customHeight="1" s="30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0" customHeight="1" s="30">
      <c r="B5" s="2" t="inlineStr">
        <is>
          <t>Ticker</t>
        </is>
      </c>
      <c r="C5" s="2" t="inlineStr">
        <is>
          <t>Name</t>
        </is>
      </c>
      <c r="D5" s="2" t="inlineStr">
        <is>
          <t>Sektor</t>
        </is>
      </c>
      <c r="E5" s="2" t="inlineStr">
        <is>
          <t>P/FCF</t>
        </is>
      </c>
      <c r="F5" s="2" t="inlineStr">
        <is>
          <t>ROIC %</t>
        </is>
      </c>
      <c r="G5" s="2" t="inlineStr">
        <is>
          <t>Gross Margin %</t>
        </is>
      </c>
      <c r="H5" s="2" t="inlineStr">
        <is>
          <t>Rev CAGR 3Y</t>
        </is>
      </c>
      <c r="I5" s="2" t="inlineStr">
        <is>
          <t>Moat (GuruFocus)</t>
        </is>
      </c>
      <c r="J5" s="2" t="inlineStr">
        <is>
          <t>P/B / Excpt.</t>
        </is>
      </c>
      <c r="K5" s="2" t="inlineStr">
        <is>
          <t>Exception</t>
        </is>
      </c>
      <c r="L5" s="2" t="inlineStr">
        <is>
          <t>DEFCON Score</t>
        </is>
      </c>
      <c r="M5" s="2" t="inlineStr">
        <is>
          <t>Δ Score</t>
        </is>
      </c>
      <c r="N5" s="2" t="inlineStr">
        <is>
          <t>Status / FLAG</t>
        </is>
      </c>
      <c r="O5" s="2" t="inlineStr">
        <is>
          <t>Sparrate
€/Monat</t>
        </is>
      </c>
      <c r="P5" s="2" t="inlineStr">
        <is>
          <t>Nächster
Check</t>
        </is>
      </c>
      <c r="Q5" s="2" t="inlineStr">
        <is>
          <t>Score-
Datum</t>
        </is>
      </c>
      <c r="R5" s="2" t="inlineStr">
        <is>
          <t>Alter
(Tage)</t>
        </is>
      </c>
      <c r="S5" s="2" t="inlineStr">
        <is>
          <t>Hinweis</t>
        </is>
      </c>
    </row>
    <row r="6" ht="3.75" customHeight="1" s="30"/>
    <row r="7" ht="141.95" customHeight="1" s="30">
      <c r="B7" s="3" t="inlineStr">
        <is>
          <t>ASML</t>
        </is>
      </c>
      <c r="C7" s="4" t="inlineStr">
        <is>
          <t>ASML Holding NV</t>
        </is>
      </c>
      <c r="D7" s="5" t="inlineStr">
        <is>
          <t>Halbleiter-Equip</t>
        </is>
      </c>
      <c r="E7" s="6" t="inlineStr">
        <is>
          <t>48x [V 17.04.]</t>
        </is>
      </c>
      <c r="F7" s="6" t="inlineStr">
        <is>
          <t>26.48% TTM [V 17.04.]</t>
        </is>
      </c>
      <c r="G7" s="6" t="inlineStr">
        <is>
          <t>52.8% [V 17.04.]</t>
        </is>
      </c>
      <c r="H7" s="6" t="inlineStr">
        <is>
          <t>~16% [~]</t>
        </is>
      </c>
      <c r="I7" s="5" t="inlineStr">
        <is>
          <t>9 / Wide</t>
        </is>
      </c>
      <c r="J7" s="5" t="inlineStr">
        <is>
          <t>n.a.</t>
        </is>
      </c>
      <c r="K7" s="5" t="inlineStr">
        <is>
          <t>Nein</t>
        </is>
      </c>
      <c r="L7" s="5" t="inlineStr">
        <is>
          <t>68 / DEFCON 3</t>
        </is>
      </c>
      <c r="M7" s="5" t="inlineStr">
        <is>
          <t>+2 v3.5-&gt;v3.7</t>
        </is>
      </c>
      <c r="N7" s="7" t="inlineStr">
        <is>
          <t>🟡 DEFCON 3 / ✅ Volle Rate 38,00€ (D3=1.0, Nenner 7.5 post-TMO-Q1)</t>
        </is>
      </c>
      <c r="O7" s="8" t="n">
        <v>38</v>
      </c>
      <c r="P7" s="5" t="inlineStr">
        <is>
          <t>Q1 2026 Earnings 15.04.</t>
        </is>
      </c>
      <c r="Q7" s="39" t="n">
        <v>46129</v>
      </c>
      <c r="R7" s="40">
        <f>TODAY()-Q7</f>
        <v/>
      </c>
      <c r="S7" s="4" t="inlineStr">
        <is>
          <t>[V 17.04.] Score 68. OpM 36,1%, Fwd P/E 39,52 + P/FCF 48x -&gt; QT-Fix-1 beide hart 0. ROIC 26,48% TTM. WATCH: Fwd P/E FY27 30,30 Grenzfall — bei &lt;30 Score +1-2 (D4-Upside).</t>
        </is>
      </c>
    </row>
    <row r="8" ht="141.95" customHeight="1" s="30">
      <c r="B8" s="9" t="inlineStr">
        <is>
          <t>AVGO</t>
        </is>
      </c>
      <c r="C8" s="10" t="inlineStr">
        <is>
          <t>Broadcom Inc.</t>
        </is>
      </c>
      <c r="D8" s="11" t="inlineStr">
        <is>
          <t>Halbleiter/SW</t>
        </is>
      </c>
      <c r="E8" s="12" t="inlineStr">
        <is>
          <t>22.98 [V 30.04.]</t>
        </is>
      </c>
      <c r="F8" s="12" t="inlineStr">
        <is>
          <t>3.98% GAAP / 45.7% §410-bereinigt [V 30.04.]</t>
        </is>
      </c>
      <c r="G8" s="12" t="inlineStr">
        <is>
          <t>~65% [~]</t>
        </is>
      </c>
      <c r="H8" s="12" t="inlineStr">
        <is>
          <t>2.26% Fabless [V 30.04.]</t>
        </is>
      </c>
      <c r="I8" s="11" t="inlineStr">
        <is>
          <t>Wide / 18 [V 30.04.]</t>
        </is>
      </c>
      <c r="J8" s="11" t="inlineStr">
        <is>
          <t>n.a.</t>
        </is>
      </c>
      <c r="K8" s="11" t="inlineStr">
        <is>
          <t>Nein</t>
        </is>
      </c>
      <c r="L8" s="11" t="inlineStr">
        <is>
          <t>53 / DEFCON 2</t>
        </is>
      </c>
      <c r="M8" s="11" t="inlineStr">
        <is>
          <t>Δ-31 30.04. (Quality-Trap)</t>
        </is>
      </c>
      <c r="N8" s="13" t="inlineStr">
        <is>
          <t>🔴 FLAG: Insider-Selling 90d $106.4M (5× Schwelle, insider_intel.py 30.04.) | OpenInsider 9 Tx „S - Sale" ohne 10b5-1-Suffix | Aktiviert 27.04.2026 | Vollanalyse 30.04. Score 84→53 (D4→D2) | FLAG aktiv unverändert | Sparrate 0€</t>
        </is>
      </c>
      <c r="O8" s="8" t="n">
        <v>0</v>
      </c>
      <c r="P8" s="11" t="inlineStr">
        <is>
          <t>Q3 FY26 Earnings ~Jun/Jul 2026 (Re-Eval + FLAG-Resolve-Check)</t>
        </is>
      </c>
      <c r="Q8" s="41" t="n">
        <v>46142</v>
      </c>
      <c r="R8" s="42">
        <f>TODAY()-Q8</f>
        <v/>
      </c>
      <c r="S8" s="10" t="inlineStr">
        <is>
          <t>[V 30.04.] Forward-Vollanalyse (erste echte seit Skill-Adoption, Pivot von PIPELINE #18 Backfill): Score 84→53 (Δ-31), D4→D2. Quality-Trap voll aktiv (Wide × Fwd P/E 22.98 max 1; Wide × P/FCF 74.4 hart 0). ROIC §410-Goodwill-bereinigt 45.7% (M&amp;A-Compounder VMware/CA/Symantec/Brocade GW 57.2%). FLAG aktiv unverändert (Sparrate 0€, keine Kaskade). Codex R1+R2-Pass 74% Confidence (APPROVE Master-Reading). 5 PIPELINE-Methodology-Watches #30-34.</t>
        </is>
      </c>
    </row>
    <row r="9" ht="141.95" customHeight="1" s="30">
      <c r="B9" s="3" t="inlineStr">
        <is>
          <t>MSFT</t>
        </is>
      </c>
      <c r="C9" s="4" t="inlineStr">
        <is>
          <t>Microsoft Corp.</t>
        </is>
      </c>
      <c r="D9" s="5" t="inlineStr">
        <is>
          <t>Software/Cloud</t>
        </is>
      </c>
      <c r="E9" s="6" t="inlineStr">
        <is>
          <t>~38x [~]</t>
        </is>
      </c>
      <c r="F9" s="6" t="inlineStr">
        <is>
          <t>7.5% [V]</t>
        </is>
      </c>
      <c r="G9" s="6" t="inlineStr">
        <is>
          <t>~69% [~]</t>
        </is>
      </c>
      <c r="H9" s="6" t="inlineStr">
        <is>
          <t>~13% [~]</t>
        </is>
      </c>
      <c r="I9" s="5" t="inlineStr">
        <is>
          <t>9 / Wide</t>
        </is>
      </c>
      <c r="J9" s="5" t="inlineStr">
        <is>
          <t>n.a.</t>
        </is>
      </c>
      <c r="K9" s="5" t="inlineStr">
        <is>
          <t>Nein</t>
        </is>
      </c>
      <c r="L9" s="5" t="inlineStr">
        <is>
          <t>50 / DEFCON 2</t>
        </is>
      </c>
      <c r="M9" s="5" t="inlineStr">
        <is>
          <t>-9 vs 17.04. (Q3 FY26 Tag-+1 V-Q2-Mittelweg)</t>
        </is>
      </c>
      <c r="N9" s="14" t="inlineStr">
        <is>
          <t>🔴 FLAG: CapEx/OCF aktiv (Bull B FAIL CY26 $190B) | DEFCON 2 (50) | ⏸ Einfrieren</t>
        </is>
      </c>
      <c r="O9" s="15" t="n">
        <v>0</v>
      </c>
      <c r="P9" s="5" t="inlineStr">
        <is>
          <t>Q4 FY26 ~Juli — CapEx-Plateau-Recheck + WACC-Methodology-Verify</t>
        </is>
      </c>
      <c r="Q9" s="39" t="n">
        <v>46142</v>
      </c>
      <c r="R9" s="40">
        <f>TODAY()-Q9</f>
        <v/>
      </c>
      <c r="S9" s="4" t="inlineStr">
        <is>
          <t>[V] Q3 FY26 Tag-+1 30.04.: Score 59→50, D2/FLAG aktiv unverändert. Triggers A ✅ (CapEx/OCF bereinigt 9M=57,7%) / B ❌ FAIL (CY26 $190B vs Konsens $154,6B Surprise +23%) / C ✅✅ (Azure +39% cc). Quality-Trap aktiv (Wide × Fwd P/E 22,4 max 1; Wide × P/FCF 39,7 hart 0). ROIC 7,68% &lt; WACC 13,64% defeatbeta (Methodology-Watch FRED-Baseline-Verify Q4). Codex-R1+R2-Doppel-Review (V-Q2-Mittelweg via Insider-Skip-Carryover). 4 PIPELINE-Items aktiv (#25-28). Sparrate 0€ unverändert.</t>
        </is>
      </c>
    </row>
    <row r="10" ht="141.95" customHeight="1" s="30">
      <c r="B10" s="9" t="inlineStr">
        <is>
          <t>COST</t>
        </is>
      </c>
      <c r="C10" s="10" t="inlineStr">
        <is>
          <t>Costco Wholesale</t>
        </is>
      </c>
      <c r="D10" s="11" t="inlineStr">
        <is>
          <t>Einzelhandel</t>
        </is>
      </c>
      <c r="E10" s="12" t="inlineStr">
        <is>
          <t>~53x [~]</t>
        </is>
      </c>
      <c r="F10" s="12" t="inlineStr">
        <is>
          <t>5.6% GAAP (MY 15.2%)</t>
        </is>
      </c>
      <c r="G10" s="12" t="inlineStr">
        <is>
          <t>12.7%</t>
        </is>
      </c>
      <c r="H10" s="12" t="inlineStr">
        <is>
          <t>~10% [~]</t>
        </is>
      </c>
      <c r="I10" s="11" t="inlineStr">
        <is>
          <t>8 / Wide</t>
        </is>
      </c>
      <c r="J10" s="11" t="inlineStr">
        <is>
          <t>Exception (GM)</t>
        </is>
      </c>
      <c r="K10" s="11" t="inlineStr">
        <is>
          <t>Ja</t>
        </is>
      </c>
      <c r="L10" s="11" t="inlineStr">
        <is>
          <t>69 / DEFCON 3</t>
        </is>
      </c>
      <c r="M10" s="11" t="inlineStr">
        <is>
          <t>0 v3.5-&gt;v3.7</t>
        </is>
      </c>
      <c r="N10" s="13" t="inlineStr">
        <is>
          <t>🟢 Halten | D4→D3 Schema-Alignment 18.04. | Screener-Exception Membership Yield 15.2% &gt; WACC</t>
        </is>
      </c>
      <c r="O10" s="8" t="n">
        <v>38</v>
      </c>
      <c r="P10" s="11" t="inlineStr">
        <is>
          <t>28.05.2026</t>
        </is>
      </c>
      <c r="Q10" s="41" t="n">
        <v>46129</v>
      </c>
      <c r="R10" s="42">
        <f>TODAY()-Q10</f>
        <v/>
      </c>
      <c r="S10" s="10" t="inlineStr">
        <is>
          <t>[~] Exception: GM 12,7% strukturell (Membership-Fee). Membership-Yield 15,2% &gt; WACC 12,3% als ökonomischer Return. D4-&gt;D3 Label-Fix 18.04. Volle Rate 35,63€.</t>
        </is>
      </c>
    </row>
    <row r="11" ht="141.75" customHeight="1" s="30">
      <c r="B11" s="3" t="inlineStr">
        <is>
          <t>RMS</t>
        </is>
      </c>
      <c r="C11" s="4" t="inlineStr">
        <is>
          <t>Hermès Intl. (EUR)</t>
        </is>
      </c>
      <c r="D11" s="5" t="inlineStr">
        <is>
          <t>Luxus</t>
        </is>
      </c>
      <c r="E11" s="6" t="inlineStr">
        <is>
          <t>38x [V]</t>
        </is>
      </c>
      <c r="F11" s="6" t="inlineStr">
        <is>
          <t>24.2% TTM [V]</t>
        </is>
      </c>
      <c r="G11" s="6" t="inlineStr">
        <is>
          <t>71% [V]</t>
        </is>
      </c>
      <c r="H11" s="6" t="inlineStr">
        <is>
          <t>~13% [~]</t>
        </is>
      </c>
      <c r="I11" s="5" t="inlineStr">
        <is>
          <t>Wide [V]</t>
        </is>
      </c>
      <c r="J11" s="5" t="inlineStr">
        <is>
          <t>n.a.</t>
        </is>
      </c>
      <c r="K11" s="5" t="inlineStr">
        <is>
          <t>Nein</t>
        </is>
      </c>
      <c r="L11" s="5" t="inlineStr">
        <is>
          <t>68 / DEFCON 3</t>
        </is>
      </c>
      <c r="M11" s="5" t="inlineStr">
        <is>
          <t>-1 v3.5-&gt;v3.7</t>
        </is>
      </c>
      <c r="N11" s="7" t="inlineStr">
        <is>
          <t>🟢 Halten | D4→D3 Schema-Alignment 18.04. | Screener-Exception ROIC 24% &gt;&gt; WACC</t>
        </is>
      </c>
      <c r="O11" s="8" t="n">
        <v>38</v>
      </c>
      <c r="P11" s="5" t="inlineStr">
        <is>
          <t>H1 2026 Report Juli/Aug 2026</t>
        </is>
      </c>
      <c r="Q11" s="39" t="n">
        <v>46129</v>
      </c>
      <c r="R11" s="40">
        <f>TODAY()-Q11</f>
        <v/>
      </c>
      <c r="S11" s="4" t="inlineStr">
        <is>
          <t>[V] Re-Analyse 15.04.: 71-&gt;68 (Q1 Miss -8,4% Mittlerer Osten). ROIC 24% &gt;&gt; WACC 6,5% = Screener-Exception #3. Netto-Cash +9,89B EUR. D4-&gt;D3 Label-Fix 18.04. Volle Rate 35,63€.</t>
        </is>
      </c>
    </row>
    <row r="12" ht="141.95" customHeight="1" s="30">
      <c r="B12" s="9" t="inlineStr">
        <is>
          <t>VEEV</t>
        </is>
      </c>
      <c r="C12" s="10" t="inlineStr">
        <is>
          <t>Veeva Systems</t>
        </is>
      </c>
      <c r="D12" s="11" t="inlineStr">
        <is>
          <t>Healthcare-SW</t>
        </is>
      </c>
      <c r="E12" s="12" t="inlineStr">
        <is>
          <t>~45x [V]</t>
        </is>
      </c>
      <c r="F12" s="12" t="inlineStr">
        <is>
          <t>~25% [V]</t>
        </is>
      </c>
      <c r="G12" s="12" t="inlineStr">
        <is>
          <t>~74% [V]</t>
        </is>
      </c>
      <c r="H12" s="12" t="inlineStr">
        <is>
          <t>~17% [~]</t>
        </is>
      </c>
      <c r="I12" s="11" t="inlineStr">
        <is>
          <t>8 / Wide</t>
        </is>
      </c>
      <c r="J12" s="11" t="inlineStr">
        <is>
          <t>n.a.</t>
        </is>
      </c>
      <c r="K12" s="11" t="inlineStr">
        <is>
          <t>Nein</t>
        </is>
      </c>
      <c r="L12" s="11" t="inlineStr">
        <is>
          <t>74 / DEFCON 3</t>
        </is>
      </c>
      <c r="M12" s="11" t="inlineStr">
        <is>
          <t>0 v3.5-&gt;v3.7</t>
        </is>
      </c>
      <c r="N12" s="7" t="inlineStr">
        <is>
          <t>🟢 Halten | D4→D3 Schema-Alignment 18.04.</t>
        </is>
      </c>
      <c r="O12" s="8" t="n">
        <v>38</v>
      </c>
      <c r="P12" s="11" t="inlineStr">
        <is>
          <t>21.05.2026 Q1 FY27</t>
        </is>
      </c>
      <c r="Q12" s="41" t="n">
        <v>46129</v>
      </c>
      <c r="R12" s="42">
        <f>TODAY()-Q12</f>
        <v/>
      </c>
      <c r="S12" s="10" t="inlineStr">
        <is>
          <t>[V] Score 74 stabil. Asset-light SaaS. Moat Wide (Switching Costs Life-Science). CapEx/OCF &lt;10%. D4-&gt;D3 Label-Fix 18.04. Volle Rate 35,63€.</t>
        </is>
      </c>
    </row>
    <row r="13" ht="141.95" customHeight="1" s="30">
      <c r="B13" s="3" t="inlineStr">
        <is>
          <t>SU</t>
        </is>
      </c>
      <c r="C13" s="4" t="inlineStr">
        <is>
          <t>Schneider Electric (EUR)</t>
        </is>
      </c>
      <c r="D13" s="5" t="inlineStr">
        <is>
          <t>Industrials</t>
        </is>
      </c>
      <c r="E13" s="6" t="inlineStr">
        <is>
          <t>~38x [~]</t>
        </is>
      </c>
      <c r="F13" s="6" t="inlineStr">
        <is>
          <t>10.48% TTM</t>
        </is>
      </c>
      <c r="G13" s="6" t="inlineStr">
        <is>
          <t>~42% [~]</t>
        </is>
      </c>
      <c r="H13" s="6" t="inlineStr">
        <is>
          <t>~11% [~]</t>
        </is>
      </c>
      <c r="I13" s="5" t="inlineStr">
        <is>
          <t>Narrow/Wide</t>
        </is>
      </c>
      <c r="J13" s="5" t="inlineStr">
        <is>
          <t>n.a.</t>
        </is>
      </c>
      <c r="K13" s="5" t="inlineStr">
        <is>
          <t>Nein</t>
        </is>
      </c>
      <c r="L13" s="5" t="inlineStr">
        <is>
          <t>69 / DEFCON 3</t>
        </is>
      </c>
      <c r="M13" s="5" t="inlineStr">
        <is>
          <t>-2 v3.5-&gt;v3.7</t>
        </is>
      </c>
      <c r="N13" s="13" t="inlineStr">
        <is>
          <t>🟢 Halten | D4→D3 Schema-Alignment 18.04. | v3.7 Fix-3 Sell-Ratio</t>
        </is>
      </c>
      <c r="O13" s="8" t="n">
        <v>38</v>
      </c>
      <c r="P13" s="5" t="inlineStr">
        <is>
          <t>07.05.2026</t>
        </is>
      </c>
      <c r="Q13" s="39" t="n">
        <v>46129</v>
      </c>
      <c r="R13" s="40">
        <f>TODAY()-Q13</f>
        <v/>
      </c>
      <c r="S13" s="4" t="inlineStr">
        <is>
          <t>[~] EUR-denominiert. ROIC 10,48% &gt; WACC 8,96%. Non-US IFRS. FCF-Wachstum +41% 3J. Schwächen: P/FCF 37,7x, Goodwill 40,2% (AVEVA). D4-&gt;D3 Label-Fix 18.04. Volle Rate 35,63€.</t>
        </is>
      </c>
    </row>
    <row r="14" ht="141.95" customHeight="1" s="30">
      <c r="B14" s="9" t="inlineStr">
        <is>
          <t>BRK.B</t>
        </is>
      </c>
      <c r="C14" s="10" t="inlineStr">
        <is>
          <t>Berkshire Hathaway B</t>
        </is>
      </c>
      <c r="D14" s="11" t="inlineStr">
        <is>
          <t>Holding/Vers.</t>
        </is>
      </c>
      <c r="E14" s="12" t="inlineStr">
        <is>
          <t>Exception (P/B 1.44x)</t>
        </is>
      </c>
      <c r="F14" s="12" t="inlineStr">
        <is>
          <t>5.6-7.8% GAAP [Float]</t>
        </is>
      </c>
      <c r="G14" s="12" t="inlineStr">
        <is>
          <t>n.a. (Holding)</t>
        </is>
      </c>
      <c r="H14" s="12" t="inlineStr">
        <is>
          <t>~8% [~]</t>
        </is>
      </c>
      <c r="I14" s="11" t="inlineStr">
        <is>
          <t>Wide [V]</t>
        </is>
      </c>
      <c r="J14" s="11" t="inlineStr">
        <is>
          <t>~1,5-1,6x P/B</t>
        </is>
      </c>
      <c r="K14" s="11" t="inlineStr">
        <is>
          <t>Ja</t>
        </is>
      </c>
      <c r="L14" s="11" t="inlineStr">
        <is>
          <t>71 / DEFCON 3</t>
        </is>
      </c>
      <c r="M14" s="11" t="inlineStr">
        <is>
          <t>Δ-4 04.05. (Q1 FY26 Tag-+1 Codex-R1-Korrektur)</t>
        </is>
      </c>
      <c r="N14" s="13" t="inlineStr">
        <is>
          <t>🟢 Halten | Q1 FY26 Tag-+1 04.05. Score 75→71 D3 unverändert | Insurance Exception (P/B 1.44x)</t>
        </is>
      </c>
      <c r="O14" s="8" t="n">
        <v>38</v>
      </c>
      <c r="P14" s="11" t="inlineStr">
        <is>
          <t>30.06.2026</t>
        </is>
      </c>
      <c r="Q14" s="41" t="n">
        <v>46146</v>
      </c>
      <c r="R14" s="42">
        <f>TODAY()-Q14</f>
        <v/>
      </c>
      <c r="S14" s="10" t="inlineStr">
        <is>
          <t>[V 04.05.] Q1 FY26 Tag-+1 Vollanalyse Score 75→71 (Codex-R1-Korrektur Δ-4): F=35/M=19/T=1/I=10/S=6. Insurance Exception P/B 1,44x. Float 86B Q1, BNSF/BHE/MSR Operating-Power. Insider Form-4 04.05.: Abel Net Buy 6M $15,3M Open-Market. Cash-ATH effektiv $380,2B (Forbes T-Bill-Settlement bereinigt). 6 Q2-Methodology-Watches PIPELINE #36-#41. Volle Rate 38€.</t>
        </is>
      </c>
    </row>
    <row r="15" ht="141.95" customHeight="1" s="30">
      <c r="B15" s="3" t="inlineStr">
        <is>
          <t>V</t>
        </is>
      </c>
      <c r="C15" s="4" t="inlineStr">
        <is>
          <t>Visa Inc.</t>
        </is>
      </c>
      <c r="D15" s="5" t="inlineStr">
        <is>
          <t>Payments</t>
        </is>
      </c>
      <c r="E15" s="6" t="inlineStr">
        <is>
          <t>28.32x [V 18.04.]</t>
        </is>
      </c>
      <c r="F15" s="6" t="inlineStr">
        <is>
          <t>9.89% GAAP &lt; WACC 10.48%</t>
        </is>
      </c>
      <c r="G15" s="6" t="inlineStr">
        <is>
          <t>80.4% [V 18.04.]</t>
        </is>
      </c>
      <c r="H15" s="6" t="inlineStr">
        <is>
          <t>~12% [~]</t>
        </is>
      </c>
      <c r="I15" s="5" t="inlineStr">
        <is>
          <t>9 / Wide</t>
        </is>
      </c>
      <c r="J15" s="5" t="inlineStr">
        <is>
          <t>n.a.</t>
        </is>
      </c>
      <c r="K15" s="5" t="inlineStr">
        <is>
          <t>Nein</t>
        </is>
      </c>
      <c r="L15" s="5" t="inlineStr">
        <is>
          <t>64 / DEFCON 2</t>
        </is>
      </c>
      <c r="M15" s="5" t="inlineStr">
        <is>
          <t>+1 Codex-Revert vs 28.04. mittags</t>
        </is>
      </c>
      <c r="N15" s="13" t="inlineStr">
        <is>
          <t>🟠 DEFCON 2 / ⏸ Sockelbetrag 19,00€ | Q2 Beat-Cascade D3 → Codex-Revert D2 (HIGH-1+2 28.04. spätabends) | Q3 ~Ende Juli ROIC-Verify (PIPELINE #21)</t>
        </is>
      </c>
      <c r="O15" s="8" t="n">
        <v>19</v>
      </c>
      <c r="P15" s="5" t="inlineStr">
        <is>
          <t>22.07.2026</t>
        </is>
      </c>
      <c r="Q15" s="39" t="n">
        <v>46130</v>
      </c>
      <c r="R15" s="40">
        <f>TODAY()-Q15</f>
        <v/>
      </c>
      <c r="S15" s="4" t="inlineStr">
        <is>
          <t>[V 18.04.] Forward-Vollanalyse + Rescoring nach Advisor: 86-&gt;72-&gt;63. DREI Sub-Score-Korrekturen: (1) Moat Pricing-Power-Bonus entfernt (Transcript-Regel); (2) Insider Ownership 2-&gt;1 (V &lt;1% strikt); (3) ROIC 8-&gt;1 (Regel-4-Gating GW/Assets 19,95% &lt;30% greift NICHT, GAAP 9,89% &lt; WACC 10,48%). Technicals-Kollaps (RelStärke -13,97pp vs SPY, Kurs -4,97% unter fallendem 200MA). Q2 FY26 28.04. D2-Entscheidung.</t>
        </is>
      </c>
    </row>
    <row r="16" ht="141.95" customHeight="1" s="30">
      <c r="B16" s="9" t="inlineStr">
        <is>
          <t>TMO</t>
        </is>
      </c>
      <c r="C16" s="10" t="inlineStr">
        <is>
          <t>Thermo Fisher Sci.</t>
        </is>
      </c>
      <c r="D16" s="11" t="inlineStr">
        <is>
          <t>Life Sciences</t>
        </is>
      </c>
      <c r="E16" s="12" t="inlineStr">
        <is>
          <t>31.10x [V 18.04.]</t>
        </is>
      </c>
      <c r="F16" s="12" t="inlineStr">
        <is>
          <t>17.18% bereinigt (Regel-4)</t>
        </is>
      </c>
      <c r="G16" s="12" t="inlineStr">
        <is>
          <t>40.9% [V 18.04.]</t>
        </is>
      </c>
      <c r="H16" s="12" t="inlineStr">
        <is>
          <t>~4% [~]</t>
        </is>
      </c>
      <c r="I16" s="11" t="inlineStr">
        <is>
          <t>Wide [V]</t>
        </is>
      </c>
      <c r="J16" s="11" t="inlineStr">
        <is>
          <t>n.a.</t>
        </is>
      </c>
      <c r="K16" s="11" t="inlineStr">
        <is>
          <t>Nein</t>
        </is>
      </c>
      <c r="L16" s="11" t="inlineStr">
        <is>
          <t>67 / DEFCON 3</t>
        </is>
      </c>
      <c r="M16" s="11" t="inlineStr">
        <is>
          <t>+3 Q1 FY26 Beat+Raise</t>
        </is>
      </c>
      <c r="N16" s="7" t="inlineStr">
        <is>
          <t>🟡 DEFCON 3 / ✅ Volle Rate 38,00€ | fcf_trend_neg Resolve (Q1 WC-Unwind) | Q2 ~Ende Juli</t>
        </is>
      </c>
      <c r="O16" s="15" t="n">
        <v>38</v>
      </c>
      <c r="P16" s="11" t="inlineStr">
        <is>
          <t>23.04.2026 Q1 Earnings</t>
        </is>
      </c>
      <c r="Q16" s="41" t="n">
        <v>46135</v>
      </c>
      <c r="R16" s="42">
        <f>TODAY()-Q16</f>
        <v/>
      </c>
      <c r="S16" s="10" t="inlineStr">
        <is>
          <t>[V 23.04.] Q1 FY26 Beat + Guidance-Raise: Adj EPS $5,44 vs $5,24 (+3,8% Beat), Rev $11,01B +6,2% reported / +1% organic, GAAP EPS $4,43 (+11,3%). Guidance-Raise: Rev $47,3-48,1B, Adj EPS $24,64-25,12, Organic 3-4%, FCF $6,9-7,4B. Clario $8,87B closed. FCF $825M (+121% YoY), OCF $1,192M (+65%), ΔWC -1,112M vs -1,425M (+$313M besser) = WC-Unwind-These bestätigt → fcf_trend_neg Resolve-Gate CLEAR. Score 64→67, D2→D3, Sparrate 17,81€→33,53€. Watches: Organic-Akzeleration H2, Clario-Integration-Execution, Net-Debt/EBITDA Post-Deal. Q2 ~Ende Juli Re-Check.</t>
        </is>
      </c>
    </row>
    <row r="17" ht="141.95" customHeight="1" s="30">
      <c r="B17" s="3" t="inlineStr">
        <is>
          <t>APH</t>
        </is>
      </c>
      <c r="C17" s="4" t="inlineStr">
        <is>
          <t>Amphenol Corp.</t>
        </is>
      </c>
      <c r="D17" s="5" t="inlineStr">
        <is>
          <t>Steckverbinder</t>
        </is>
      </c>
      <c r="E17" s="6" t="inlineStr">
        <is>
          <t>~28x [~]</t>
        </is>
      </c>
      <c r="F17" s="6" t="inlineStr">
        <is>
          <t>~22% [~]</t>
        </is>
      </c>
      <c r="G17" s="6" t="inlineStr">
        <is>
          <t>~32% [V]</t>
        </is>
      </c>
      <c r="H17" s="6" t="inlineStr">
        <is>
          <t>~18% [~]</t>
        </is>
      </c>
      <c r="I17" s="5" t="inlineStr">
        <is>
          <t>Narrow/Wide</t>
        </is>
      </c>
      <c r="J17" s="5" t="inlineStr">
        <is>
          <t>n.a.</t>
        </is>
      </c>
      <c r="K17" s="5" t="inlineStr">
        <is>
          <t>Nein</t>
        </is>
      </c>
      <c r="L17" s="5" t="inlineStr">
        <is>
          <t>61 / DEFCON 2</t>
        </is>
      </c>
      <c r="M17" s="5" t="inlineStr">
        <is>
          <t>-2 vs 17.04. (Q1 FY26 Vollanalyse)</t>
        </is>
      </c>
      <c r="N17" s="13" t="inlineStr">
        <is>
          <t>🔴 FLAG: Score 61 (DEFCON 2, &lt;65 D3-Threshold) | CommScope-NL 1,6x | China-Tax 27% [Q2-Verify ~23.07.] | Sparrate 0€</t>
        </is>
      </c>
      <c r="O17" s="8" t="n">
        <v>0</v>
      </c>
      <c r="P17" s="5" t="inlineStr">
        <is>
          <t>Q2 2025 Earnings 23.07.2025</t>
        </is>
      </c>
      <c r="Q17" s="39" t="n">
        <v>46129</v>
      </c>
      <c r="R17" s="40">
        <f>TODAY()-Q17</f>
        <v/>
      </c>
      <c r="S17" s="4" t="inlineStr">
        <is>
          <t>[V+TC] DEFCON 2 seit 18.04. Schema-Alignment. FLAG aktiv (Score-basiert 63 + D2). Tariff-Check 15.04.: China Rev 14,7% &lt; 15%-Schwelle -&gt; kein Revenue-FLAG. Supply-Chain CN/MY Risk-Map aktiv. Sparrate 0€.</t>
        </is>
      </c>
    </row>
    <row r="18" ht="24.95" customHeight="1" s="30">
      <c r="B18" s="36" t="inlineStr">
        <is>
          <t>Sparrate-Check</t>
        </is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8" t="n"/>
      <c r="M18" s="16" t="inlineStr">
        <is>
          <t>Gesamt:</t>
        </is>
      </c>
      <c r="N18" s="17" t="inlineStr">
        <is>
          <t>→ muss = 285,00 €</t>
        </is>
      </c>
      <c r="O18" s="18">
        <f>SUM(O7:O17)</f>
        <v/>
      </c>
    </row>
    <row r="20" ht="15.75" customHeight="1" s="30">
      <c r="B20" s="32" t="inlineStr">
        <is>
          <t>LEGENDE &amp; DATENQUALITÄT</t>
        </is>
      </c>
    </row>
    <row r="21" ht="13.5" customHeight="1" s="30">
      <c r="B21" s="26" t="inlineStr">
        <is>
          <t>✅ Fetched Live – GuruFocus term-pages 02.04.2026: Moat-Scores ASML(9) COST(8) VEEV(8) V(9) MSFT(9)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8" t="n"/>
    </row>
    <row r="22" ht="13.5" customHeight="1" s="30">
      <c r="B22" s="26" t="inlineStr">
        <is>
          <t>[KB] – Kalibrierungsanalyse: AVGO 86/100 (25.03.), TMO 65→67 (07.04.), ASML 68 (06.04.), MSFT 77→60 (08.04.), APH 61 (09.04.), RMS 71→69 (15.04. Re-Analyse), VEEV 74 (09.04.)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8" t="n"/>
    </row>
    <row r="23" ht="13.5" customHeight="1" s="30">
      <c r="B23" s="26" t="inlineStr">
        <is>
          <t>[~] – Schätzung Wissensbasis (plausibel) | [V] – Vollanalyse verifiziert | [TC] – Tariff-Check abgeschlossen 15.04.2026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8" t="n"/>
    </row>
    <row r="24" ht="13.5" customHeight="1" s="30">
      <c r="B24" s="26" t="inlineStr">
        <is>
          <t>🔴 EINGEFROREN: MSFT (FLAG CapEx/OCF &gt;60%, D2, Score 59) | APH (FLAG Score-basiert, D2, Score 61 ab 30.04.) | AVGO (FLAG Insider-Selling 90d $106M+, D4 Score 84, ab 27.04.) — Sparrate 0€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8" t="n"/>
    </row>
    <row r="25" ht="15" customHeight="1" s="30">
      <c r="B25" s="26" t="inlineStr">
        <is>
          <t>🟢 Volle Rate 38,00€ (7 Positionen): ASML/COST/RMS/VEEV/SU/BRK.B/TMO D3  |  🟠 D2-Sockelbetrag 19,00€ (1): V  |  🔴 Eingefroren 0€ (3): MSFT, APH, AVGO  |  Nenner 7×1,0 + 1×0,5 + 3×0 = 7,5  |  Σ = 7×38,00 + 1×19,00 + 3×0 = 285,00€ ✓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8" t="n"/>
    </row>
  </sheetData>
  <mergeCells count="14">
    <mergeCell ref="B21:S21"/>
    <mergeCell ref="B3:D3"/>
    <mergeCell ref="O2:S2"/>
    <mergeCell ref="B25:S25"/>
    <mergeCell ref="B24:S24"/>
    <mergeCell ref="B20:S20"/>
    <mergeCell ref="B22:S22"/>
    <mergeCell ref="B23:S23"/>
    <mergeCell ref="K3:M3"/>
    <mergeCell ref="E3:G3"/>
    <mergeCell ref="N3:S3"/>
    <mergeCell ref="H3:J3"/>
    <mergeCell ref="B2:N2"/>
    <mergeCell ref="B18:L18"/>
  </mergeCells>
  <conditionalFormatting sqref="L7:L17">
    <cfRule type="expression" priority="16" dxfId="5" stopIfTrue="1">
      <formula>ISNUMBER(SEARCH("DEFCON 4",L7))</formula>
    </cfRule>
    <cfRule type="expression" priority="17" dxfId="7" stopIfTrue="1">
      <formula>ISNUMBER(SEARCH("DEFCON 3",L7))</formula>
    </cfRule>
    <cfRule type="expression" priority="18" dxfId="9" stopIfTrue="1">
      <formula>ISNUMBER(SEARCH("DEFCON 2",L7))</formula>
    </cfRule>
    <cfRule type="expression" priority="19" dxfId="10" stopIfTrue="1">
      <formula>ISNUMBER(SEARCH("DEFCON 1",L7))</formula>
    </cfRule>
  </conditionalFormatting>
  <conditionalFormatting sqref="M7:M17">
    <cfRule type="cellIs" priority="7" operator="lessThan" dxfId="0">
      <formula>0</formula>
    </cfRule>
    <cfRule type="cellIs" priority="8" operator="greaterThan" dxfId="13">
      <formula>0</formula>
    </cfRule>
    <cfRule type="cellIs" priority="9" operator="equal" dxfId="12">
      <formula>0</formula>
    </cfRule>
  </conditionalFormatting>
  <conditionalFormatting sqref="N7:N17">
    <cfRule type="expression" priority="20" dxfId="10" stopIfTrue="1">
      <formula>LEFT(N7,1)="🔴"</formula>
    </cfRule>
    <cfRule type="expression" priority="21" dxfId="10" stopIfTrue="1">
      <formula>ISNUMBER(SEARCH("FLAG",N7))</formula>
    </cfRule>
    <cfRule type="expression" priority="22" dxfId="9" stopIfTrue="1">
      <formula>LEFT(N7,1)="🟠"</formula>
    </cfRule>
    <cfRule type="expression" priority="23" dxfId="7" stopIfTrue="1">
      <formula>LEFT(N7,1)="🟡"</formula>
    </cfRule>
    <cfRule type="expression" priority="24" dxfId="7" stopIfTrue="1">
      <formula>ISNUMBER(SEARCH("DEFCON 3",N7))</formula>
    </cfRule>
    <cfRule type="expression" priority="25" dxfId="5" stopIfTrue="1">
      <formula>LEFT(N7,1)="🟢"</formula>
    </cfRule>
    <cfRule type="expression" priority="26" dxfId="5" stopIfTrue="1">
      <formula>ISNUMBER(SEARCH("Halten",N7))</formula>
    </cfRule>
  </conditionalFormatting>
  <conditionalFormatting sqref="O7:O17">
    <cfRule type="cellIs" priority="5" operator="equal" dxfId="4">
      <formula>0</formula>
    </cfRule>
    <cfRule type="cellIs" priority="6" operator="greaterThan" dxfId="2">
      <formula>0</formula>
    </cfRule>
  </conditionalFormatting>
  <conditionalFormatting sqref="R7:R17">
    <cfRule type="cellIs" priority="10" operator="lessThanOrEqual" dxfId="2">
      <formula>30</formula>
    </cfRule>
    <cfRule type="cellIs" priority="11" operator="between" dxfId="1">
      <formula>31</formula>
      <formula>90</formula>
    </cfRule>
    <cfRule type="cellIs" priority="12" operator="greaterThan" dxfId="0">
      <formula>90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C0000"/>
    <outlinePr summaryBelow="1" summaryRight="1"/>
    <pageSetUpPr/>
  </sheetPr>
  <dimension ref="B2:I23"/>
  <sheetViews>
    <sheetView zoomScaleNormal="10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M15" sqref="M15"/>
    </sheetView>
  </sheetViews>
  <sheetFormatPr baseColWidth="10" defaultColWidth="9.140625" defaultRowHeight="15"/>
  <cols>
    <col width="2" customWidth="1" style="30" min="1" max="1"/>
    <col width="7" customWidth="1" style="30" min="2" max="2"/>
    <col width="18" customWidth="1" style="30" min="3" max="3"/>
    <col width="13" customWidth="1" style="30" min="4" max="6"/>
    <col width="16" customWidth="1" style="30" min="7" max="9"/>
  </cols>
  <sheetData>
    <row r="1" ht="6" customHeight="1" s="30"/>
    <row r="2" ht="27.75" customHeight="1" s="30">
      <c r="B2" s="37" t="inlineStr">
        <is>
          <t>🦅  DYNASTIEDEPOT – QUICKSCREEN AMPEL  |  23.04.2026 (v3.7 post-TMO-Q1)</t>
        </is>
      </c>
    </row>
    <row r="3" ht="27" customHeight="1" s="30">
      <c r="B3" s="29" t="inlineStr">
        <is>
          <t>Filter: P/FCF ≤35x 🟢 / ≤45x 🟡 / &gt;45x 🔴  |  ROIC ≥15% 🟢 / ≥12% 🟡 / &lt;12% 🔴  |  Moat Wide 🟢 / Narrow 🟡 / None 🔴  |  FLAG überschreibt immer → 🔴</t>
        </is>
      </c>
    </row>
    <row r="4" ht="6" customHeight="1" s="30"/>
    <row r="5" ht="30" customHeight="1" s="30">
      <c r="B5" s="2" t="inlineStr">
        <is>
          <t>Ticker</t>
        </is>
      </c>
      <c r="C5" s="2" t="inlineStr">
        <is>
          <t>Name</t>
        </is>
      </c>
      <c r="D5" s="2" t="inlineStr">
        <is>
          <t>P/FCF Filter</t>
        </is>
      </c>
      <c r="E5" s="2" t="inlineStr">
        <is>
          <t>ROIC Filter</t>
        </is>
      </c>
      <c r="F5" s="2" t="inlineStr">
        <is>
          <t>Moat Filter</t>
        </is>
      </c>
      <c r="G5" s="2" t="inlineStr">
        <is>
          <t>FLAG</t>
        </is>
      </c>
      <c r="H5" s="2" t="inlineStr">
        <is>
          <t>Gesamt-Ampel</t>
        </is>
      </c>
      <c r="I5" s="2" t="inlineStr">
        <is>
          <t>Nächster Schritt</t>
        </is>
      </c>
    </row>
    <row r="6" ht="129.95" customHeight="1" s="30">
      <c r="B6" s="3" t="inlineStr">
        <is>
          <t>AVGO</t>
        </is>
      </c>
      <c r="C6" s="5" t="inlineStr">
        <is>
          <t>Broadcom</t>
        </is>
      </c>
      <c r="D6" s="19" t="inlineStr">
        <is>
          <t>🟢 22.98 (max 1 QT)</t>
        </is>
      </c>
      <c r="E6" s="19" t="inlineStr">
        <is>
          <t>🔴 3.98% GAAP (§410: 45.7%)</t>
        </is>
      </c>
      <c r="F6" s="19" t="inlineStr">
        <is>
          <t>🟢 Wide</t>
        </is>
      </c>
      <c r="G6" s="13" t="inlineStr">
        <is>
          <t>🔴 FLAG</t>
        </is>
      </c>
      <c r="H6" s="13" t="inlineStr">
        <is>
          <t>🔴 FLAG-Stop</t>
        </is>
      </c>
      <c r="I6" s="20" t="inlineStr">
        <is>
          <t>Sparplan 0€ (FLAG aktiv 27.04.). Score 53 / D2 nach Vollanalyse 30.04. (Quality-Trap voll aktiv).</t>
        </is>
      </c>
    </row>
    <row r="7" ht="129.95" customHeight="1" s="30">
      <c r="B7" s="9" t="inlineStr">
        <is>
          <t>COST</t>
        </is>
      </c>
      <c r="C7" s="11" t="inlineStr">
        <is>
          <t>Costco</t>
        </is>
      </c>
      <c r="D7" s="19" t="inlineStr">
        <is>
          <t>🟢 Exception</t>
        </is>
      </c>
      <c r="E7" s="19" t="inlineStr">
        <is>
          <t>🟢 ~30%</t>
        </is>
      </c>
      <c r="F7" s="19" t="inlineStr">
        <is>
          <t>🟢 Wide</t>
        </is>
      </c>
      <c r="G7" s="13" t="inlineStr">
        <is>
          <t>✅</t>
        </is>
      </c>
      <c r="H7" s="13" t="inlineStr">
        <is>
          <t>🟢 HALTEN</t>
        </is>
      </c>
      <c r="I7" s="21" t="inlineStr">
        <is>
          <t>Exception. Membership-Moat ✅. D4→D3 Schema-Alignment 18.04. Volle Rate 35,63€.</t>
        </is>
      </c>
    </row>
    <row r="8" ht="129.95" customHeight="1" s="30">
      <c r="B8" s="3" t="inlineStr">
        <is>
          <t>V</t>
        </is>
      </c>
      <c r="C8" s="5" t="inlineStr">
        <is>
          <t>Visa</t>
        </is>
      </c>
      <c r="D8" s="19" t="inlineStr">
        <is>
          <t>🟢 ~28–32x</t>
        </is>
      </c>
      <c r="E8" s="19" t="inlineStr">
        <is>
          <t>🟢 ~45%</t>
        </is>
      </c>
      <c r="F8" s="19" t="inlineStr">
        <is>
          <t>🟢 Wide</t>
        </is>
      </c>
      <c r="G8" s="13" t="inlineStr">
        <is>
          <t>✅</t>
        </is>
      </c>
      <c r="H8" s="13" t="inlineStr">
        <is>
          <t>🟠 DEFCON 2 / ⏸ Sockelbetrag</t>
        </is>
      </c>
      <c r="I8" s="20" t="inlineStr">
        <is>
          <t>Score 63 (Forward 18.04., -23 vs Backfill). Technicals-Kollaps + ROIC GAAP &lt; WACC. Sockelbetrag 17,81€. Q2 28.04.</t>
        </is>
      </c>
    </row>
    <row r="9" ht="129.95" customHeight="1" s="30">
      <c r="B9" s="9" t="inlineStr">
        <is>
          <t>SU</t>
        </is>
      </c>
      <c r="C9" s="11" t="inlineStr">
        <is>
          <t>Schneider Elec.</t>
        </is>
      </c>
      <c r="D9" s="19" t="inlineStr">
        <is>
          <t>🟢 ~20–25x</t>
        </is>
      </c>
      <c r="E9" s="22" t="inlineStr">
        <is>
          <t>🟡 ~12%</t>
        </is>
      </c>
      <c r="F9" s="19" t="inlineStr">
        <is>
          <t>🟢 Wide</t>
        </is>
      </c>
      <c r="G9" s="13" t="inlineStr">
        <is>
          <t>✅</t>
        </is>
      </c>
      <c r="H9" s="13" t="inlineStr">
        <is>
          <t>🟢 HALTEN</t>
        </is>
      </c>
      <c r="I9" s="21" t="inlineStr">
        <is>
          <t>ROIC Grenzfall. D4→D3 Schema-Alignment 18.04. Volle Rate 35,63€.</t>
        </is>
      </c>
    </row>
    <row r="10" ht="129.95" customHeight="1" s="30">
      <c r="B10" s="3" t="inlineStr">
        <is>
          <t>BRK.B</t>
        </is>
      </c>
      <c r="C10" s="5" t="inlineStr">
        <is>
          <t>Berkshire B</t>
        </is>
      </c>
      <c r="D10" s="19" t="inlineStr">
        <is>
          <t>🟢 Exception</t>
        </is>
      </c>
      <c r="E10" s="19" t="inlineStr">
        <is>
          <t>🟢 Exception</t>
        </is>
      </c>
      <c r="F10" s="19" t="inlineStr">
        <is>
          <t>🟢 Wide</t>
        </is>
      </c>
      <c r="G10" s="13" t="inlineStr">
        <is>
          <t>✅</t>
        </is>
      </c>
      <c r="H10" s="13" t="inlineStr">
        <is>
          <t>🟢 HALTEN</t>
        </is>
      </c>
      <c r="I10" s="20" t="inlineStr">
        <is>
          <t>Exception. P/B ~1,5–1,6x ✅. D4→D3 Schema-Alignment 18.04. Volle Rate 35,63€.</t>
        </is>
      </c>
    </row>
    <row r="11" ht="129.95" customHeight="1" s="30">
      <c r="B11" s="9" t="inlineStr">
        <is>
          <t>APH</t>
        </is>
      </c>
      <c r="C11" s="11" t="inlineStr">
        <is>
          <t>Amphenol</t>
        </is>
      </c>
      <c r="D11" s="19" t="inlineStr">
        <is>
          <t>🟢 ~25–30x</t>
        </is>
      </c>
      <c r="E11" s="19" t="inlineStr">
        <is>
          <t>🟢 ~22%</t>
        </is>
      </c>
      <c r="F11" s="19" t="inlineStr">
        <is>
          <t>🟢 Wide</t>
        </is>
      </c>
      <c r="G11" s="13" t="inlineStr">
        <is>
          <t>🔴 FLAG (Score)</t>
        </is>
      </c>
      <c r="H11" s="13" t="inlineStr">
        <is>
          <t>🔴 FLAG / ⏸ EINGEFROREN</t>
        </is>
      </c>
      <c r="I11" s="21" t="inlineStr">
        <is>
          <t>Score 63 (DEFCON 2 seit 18.04. Schema-Alignment). FLAG aktiv (Score-basiert). Tariff-Check CN 14.7% Risk-Map. Sparrate 0€.</t>
        </is>
      </c>
    </row>
    <row r="12" ht="129.95" customHeight="1" s="30">
      <c r="B12" s="3" t="inlineStr">
        <is>
          <t>ASML</t>
        </is>
      </c>
      <c r="C12" s="5" t="inlineStr">
        <is>
          <t>ASML Holding</t>
        </is>
      </c>
      <c r="D12" s="22" t="inlineStr">
        <is>
          <t>🟡 ~42–50x</t>
        </is>
      </c>
      <c r="E12" s="19" t="inlineStr">
        <is>
          <t>🟢 ~35%</t>
        </is>
      </c>
      <c r="F12" s="19" t="inlineStr">
        <is>
          <t>🟢 Wide</t>
        </is>
      </c>
      <c r="G12" s="13" t="inlineStr">
        <is>
          <t>✅</t>
        </is>
      </c>
      <c r="H12" s="7" t="inlineStr">
        <is>
          <t>🟡 PRÜFEN</t>
        </is>
      </c>
      <c r="I12" s="20" t="inlineStr">
        <is>
          <t>DEFCON 3 (68, v3.7 +2). Moat 19/20 Wide. v3.7 Fix-1: Fwd P/E + P/FCF Subscore-Deckel. Volle Rate 33,53€.</t>
        </is>
      </c>
    </row>
    <row r="13" ht="129.95" customHeight="1" s="30">
      <c r="B13" s="9" t="inlineStr">
        <is>
          <t>RMS</t>
        </is>
      </c>
      <c r="C13" s="11" t="inlineStr">
        <is>
          <t>Hermès</t>
        </is>
      </c>
      <c r="D13" s="22" t="inlineStr">
        <is>
          <t>🟡 ~38x</t>
        </is>
      </c>
      <c r="E13" s="19" t="inlineStr">
        <is>
          <t>🟢 ~40%</t>
        </is>
      </c>
      <c r="F13" s="19" t="inlineStr">
        <is>
          <t>🟢 Wide</t>
        </is>
      </c>
      <c r="G13" s="13" t="inlineStr">
        <is>
          <t>✅</t>
        </is>
      </c>
      <c r="H13" s="7" t="inlineStr">
        <is>
          <t>🟢 HALTEN</t>
        </is>
      </c>
      <c r="I13" s="21" t="inlineStr">
        <is>
          <t>v3.7: Score 68 (D4→D3 Schema-Alignment 18.04.). Screener-Exception ROIC 24% &gt;&gt; WACC. Volle Rate 35,63€.</t>
        </is>
      </c>
    </row>
    <row r="14" ht="129.95" customHeight="1" s="30">
      <c r="B14" s="3" t="inlineStr">
        <is>
          <t>VEEV</t>
        </is>
      </c>
      <c r="C14" s="5" t="inlineStr">
        <is>
          <t>Veeva Systems</t>
        </is>
      </c>
      <c r="D14" s="22" t="inlineStr">
        <is>
          <t>🟡 ~45x</t>
        </is>
      </c>
      <c r="E14" s="22" t="inlineStr">
        <is>
          <t>🟡 ~18%</t>
        </is>
      </c>
      <c r="F14" s="19" t="inlineStr">
        <is>
          <t>🟢 Wide</t>
        </is>
      </c>
      <c r="G14" s="13" t="inlineStr">
        <is>
          <t>✅</t>
        </is>
      </c>
      <c r="H14" s="7" t="inlineStr">
        <is>
          <t>🟢 HALTEN</t>
        </is>
      </c>
      <c r="I14" s="20" t="inlineStr">
        <is>
          <t>v3.7: Score 74 (D4→D3 Schema-Alignment 18.04.). SaaS Wide Moat. Volle Rate 35,63€.</t>
        </is>
      </c>
    </row>
    <row r="15" ht="129.95" customHeight="1" s="30">
      <c r="B15" s="9" t="inlineStr">
        <is>
          <t>MSFT</t>
        </is>
      </c>
      <c r="C15" s="11" t="inlineStr">
        <is>
          <t>Microsoft</t>
        </is>
      </c>
      <c r="D15" s="22" t="inlineStr">
        <is>
          <t>🟢 ~22x (Drawdown -25%)</t>
        </is>
      </c>
      <c r="E15" s="19" t="inlineStr">
        <is>
          <t>🔴 ~7.7% (defeatbeta-WACC-Methodology-Watch)</t>
        </is>
      </c>
      <c r="F15" s="19" t="inlineStr">
        <is>
          <t>🟢 Wide</t>
        </is>
      </c>
      <c r="G15" s="14" t="inlineStr">
        <is>
          <t>🔴 FLAG (Bull B FAIL)</t>
        </is>
      </c>
      <c r="H15" s="14" t="inlineStr">
        <is>
          <t>🔴 FLAG / DEFCON 2 (50) / ⏸ EINFRIEREN</t>
        </is>
      </c>
      <c r="I15" s="21" t="inlineStr">
        <is>
          <t>Score 50 (↓9 vs 17.04.). DEFCON 2 unverändert. FLAG CapEx/OCF aktiv (Bull-Case Trigger B FAIL CY26 $190B). Quality-Trap aktiv. Re-Check Q4 FY26 ~Juli.</t>
        </is>
      </c>
    </row>
    <row r="16" ht="129.95" customHeight="1" s="30">
      <c r="B16" s="3" t="inlineStr">
        <is>
          <t>TMO</t>
        </is>
      </c>
      <c r="C16" s="5" t="inlineStr">
        <is>
          <t>Thermo Fisher</t>
        </is>
      </c>
      <c r="D16" s="19" t="inlineStr">
        <is>
          <t>🟢 ~28x</t>
        </is>
      </c>
      <c r="E16" s="23" t="inlineStr">
        <is>
          <t>🔴 ~9%</t>
        </is>
      </c>
      <c r="F16" s="19" t="inlineStr">
        <is>
          <t>🟢 Wide</t>
        </is>
      </c>
      <c r="G16" s="13" t="inlineStr">
        <is>
          <t>✅</t>
        </is>
      </c>
      <c r="H16" s="14" t="inlineStr">
        <is>
          <t>🟡 DEFCON 3 / ✅ VOLLRATE</t>
        </is>
      </c>
      <c r="I16" s="20" t="inlineStr">
        <is>
          <t>Score 67 (Q1 FY26 Beat+Raise 23.04.: Adj EPS $5,44 / Rev $11,01B / FCF $825M +121% YoY). D2→D3, Vollrate 33,53€. fcf_trend_neg Resolve (WC-Unwind bestätigt). Q2 ~Ende Juli.</t>
        </is>
      </c>
    </row>
    <row r="19" ht="15.75" customHeight="1" s="30">
      <c r="B19" s="38" t="inlineStr">
        <is>
          <t>LEGENDE</t>
        </is>
      </c>
      <c r="C19" s="27" t="n"/>
      <c r="D19" s="27" t="n"/>
      <c r="E19" s="27" t="n"/>
      <c r="F19" s="27" t="n"/>
      <c r="G19" s="27" t="n"/>
      <c r="H19" s="27" t="n"/>
      <c r="I19" s="28" t="n"/>
    </row>
    <row r="20" ht="13.5" customHeight="1" s="30">
      <c r="B20" s="26" t="inlineStr">
        <is>
          <t>🟢 HALTEN: Alle 3 Filter grün + kein FLAG → Sparplan aktiv</t>
        </is>
      </c>
      <c r="C20" s="27" t="n"/>
      <c r="D20" s="27" t="n"/>
      <c r="E20" s="27" t="n"/>
      <c r="F20" s="27" t="n"/>
      <c r="G20" s="27" t="n"/>
      <c r="H20" s="27" t="n"/>
      <c r="I20" s="28" t="n"/>
    </row>
    <row r="21" ht="13.5" customHeight="1" s="30">
      <c r="B21" s="26" t="inlineStr">
        <is>
          <t>🟡 PRÜFEN: Mind. 1 Filter gelb + kein FLAG → Halten, erhöhtes Monitoring</t>
        </is>
      </c>
      <c r="C21" s="27" t="n"/>
      <c r="D21" s="27" t="n"/>
      <c r="E21" s="27" t="n"/>
      <c r="F21" s="27" t="n"/>
      <c r="G21" s="27" t="n"/>
      <c r="H21" s="27" t="n"/>
      <c r="I21" s="28" t="n"/>
    </row>
    <row r="22" ht="13.5" customHeight="1" s="30">
      <c r="B22" s="26" t="inlineStr">
        <is>
          <t>🔴 EINGEFROREN: FLAG aktiv (MSFT, APH) → Sparrate = 0€, Re-Analyse Pflicht</t>
        </is>
      </c>
      <c r="C22" s="27" t="n"/>
      <c r="D22" s="27" t="n"/>
      <c r="E22" s="27" t="n"/>
      <c r="F22" s="27" t="n"/>
      <c r="G22" s="27" t="n"/>
      <c r="H22" s="27" t="n"/>
      <c r="I22" s="28" t="n"/>
    </row>
    <row r="23" ht="13.5" customHeight="1" s="30">
      <c r="B23" s="26" t="inlineStr">
        <is>
          <t>Exception-Logik: COST (GM strukturell ~13%), BRK.B (P/B statt P/FCF) → zählen als grün | Stand: 17.04.2026</t>
        </is>
      </c>
      <c r="C23" s="27" t="n"/>
      <c r="D23" s="27" t="n"/>
      <c r="E23" s="27" t="n"/>
      <c r="F23" s="27" t="n"/>
      <c r="G23" s="27" t="n"/>
      <c r="H23" s="27" t="n"/>
      <c r="I23" s="28" t="n"/>
    </row>
  </sheetData>
  <mergeCells count="7">
    <mergeCell ref="B21:I21"/>
    <mergeCell ref="B2:I2"/>
    <mergeCell ref="B20:I20"/>
    <mergeCell ref="B3:I3"/>
    <mergeCell ref="B22:I22"/>
    <mergeCell ref="B19:I19"/>
    <mergeCell ref="B23:I2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2026-04-02T15:20:51Z</dcterms:created>
  <dcterms:modified xmlns:dcterms="http://purl.org/dc/terms/" xmlns:xsi="http://www.w3.org/2001/XMLSchema-instance" xsi:type="dcterms:W3CDTF">2026-05-04T21:08:27Z</dcterms:modified>
  <cp:lastModifiedBy>Tobias Kowalski</cp:lastModifiedBy>
  <cp:revision>0</cp:revision>
</cp:coreProperties>
</file>