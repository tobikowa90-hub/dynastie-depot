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tobia\OneDrive\Desktop\Claude Stuff\03_Tools\"/>
    </mc:Choice>
  </mc:AlternateContent>
  <xr:revisionPtr revIDLastSave="0" documentId="13_ncr:1_{FBC5C5F5-ACAC-4E8F-88B2-267A6C79553B}" xr6:coauthVersionLast="47" xr6:coauthVersionMax="47" xr10:uidLastSave="{00000000-0000-0000-0000-000000000000}"/>
  <bookViews>
    <workbookView xWindow="-120" yWindow="-120" windowWidth="38640" windowHeight="21120" tabRatio="500" activeTab="1" xr2:uid="{00000000-000D-0000-FFFF-FFFF00000000}"/>
  </bookViews>
  <sheets>
    <sheet name="Satelliten Monitor" sheetId="1" r:id="rId1"/>
    <sheet name="QuickScreen Ampel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8" i="1" l="1"/>
</calcChain>
</file>

<file path=xl/sharedStrings.xml><?xml version="1.0" encoding="utf-8"?>
<sst xmlns="http://schemas.openxmlformats.org/spreadsheetml/2006/main" count="313" uniqueCount="221">
  <si>
    <t>🦅  DYNASTIEDEPOT – SATELLITEN MONITOR v2.0</t>
  </si>
  <si>
    <t>Stand: 15.04.2026  |  Broker: Scalable Capital  |  Slots: 11/11</t>
  </si>
  <si>
    <t>Sparrate Satelliten: 285 €/Monat  |  D4-Rate: ~35,63€  |  D3-Sockelbetrag: ~17,81€</t>
  </si>
  <si>
    <t>Vollanalysiert: 11 / 11 ✅  |  Geschätzt: 0 / 11</t>
  </si>
  <si>
    <t>Eingefroren: MSFT (FLAG+D2) | APH (FLAG) | ASML (D3 Sockelbetrag) | TMO (D3 Sockelbetrag)</t>
  </si>
  <si>
    <t>Ergebnis: 🟢 7 Aktiv  🟡 2 Sockelbetrag  🔴 2 Eingefroren</t>
  </si>
  <si>
    <t>Quellen: Vollanalyse [V] | Kalibrierungsanalyse [KB] | Schätzung [~] | Tariff-Check [TC]</t>
  </si>
  <si>
    <t>Ticker</t>
  </si>
  <si>
    <t>Name</t>
  </si>
  <si>
    <t>Sektor</t>
  </si>
  <si>
    <t>P/FCF</t>
  </si>
  <si>
    <t>ROIC %</t>
  </si>
  <si>
    <t>Gross Margin %</t>
  </si>
  <si>
    <t>Rev CAGR 3Y</t>
  </si>
  <si>
    <t>Moat (GuruFocus)</t>
  </si>
  <si>
    <t>P/B / Excpt.</t>
  </si>
  <si>
    <t>Exception</t>
  </si>
  <si>
    <t>DEFCON Score</t>
  </si>
  <si>
    <t>Δ Score</t>
  </si>
  <si>
    <t>Status / FLAG</t>
  </si>
  <si>
    <t>Sparrate
€/Monat</t>
  </si>
  <si>
    <t>Nächster
Check</t>
  </si>
  <si>
    <t>Score-
Datum</t>
  </si>
  <si>
    <t>Alter
(Tage)</t>
  </si>
  <si>
    <t>Hinweis</t>
  </si>
  <si>
    <t>ASML</t>
  </si>
  <si>
    <t>ASML Holding NV</t>
  </si>
  <si>
    <t>Halbleiter-Equip</t>
  </si>
  <si>
    <t>~42–50x [~]</t>
  </si>
  <si>
    <t>~35% [~]</t>
  </si>
  <si>
    <t>~51% [~]</t>
  </si>
  <si>
    <t>~16% [~]</t>
  </si>
  <si>
    <t>9 / Wide ✅</t>
  </si>
  <si>
    <t>n.a.</t>
  </si>
  <si>
    <t>Nein</t>
  </si>
  <si>
    <t>68 / DEFCON 3</t>
  </si>
  <si>
    <t>—</t>
  </si>
  <si>
    <t>🟡 DEFCON 3 / ⏸ Sockelbetrag 17,81€</t>
  </si>
  <si>
    <t>Q1 2026 Earnings 15.04.</t>
  </si>
  <si>
    <t>06.04.2026</t>
  </si>
  <si>
    <t>[V] DEFCON 3 (68/100). Moat 19/20 Wide Monopol, Fwd P/E 38x + P/FCF ~41x = Bewertungsprämie ohne Sicherheitsmarge. China-Revenue 14.7% → Kein Tariff-FLAG.</t>
  </si>
  <si>
    <t>AVGO</t>
  </si>
  <si>
    <t>Broadcom Inc.</t>
  </si>
  <si>
    <t>Halbleiter/SW</t>
  </si>
  <si>
    <t>~22x [KB]</t>
  </si>
  <si>
    <t>~65% [KB]</t>
  </si>
  <si>
    <t>~68% [KB]</t>
  </si>
  <si>
    <t>~21% [KB]</t>
  </si>
  <si>
    <t>Wide [KB]</t>
  </si>
  <si>
    <t>86 / DEFCON 4</t>
  </si>
  <si>
    <t>⚠️ Insider-Check ausstehend (verm. Post-Vesting) | Sparplan läuft</t>
  </si>
  <si>
    <t>Q3 FY26 Earnings Jun 2026</t>
  </si>
  <si>
    <t>25.03.2026</t>
  </si>
  <si>
    <t>[KB] Kalibrierungsanker 86/100. Fabless CapEx/OCF &lt;15%. AI-Backlog 3B. Insider-FLAG: 23M vermutl. Post-Vesting — OpenInsider-Check vor FLAG-Aktivierung Pflicht.</t>
  </si>
  <si>
    <t>MSFT</t>
  </si>
  <si>
    <t>Microsoft Corp.</t>
  </si>
  <si>
    <t>Software/Cloud</t>
  </si>
  <si>
    <t>~38x [~]</t>
  </si>
  <si>
    <t>~7.5% [V]</t>
  </si>
  <si>
    <t>~70% [KB]</t>
  </si>
  <si>
    <t>~13% [~]</t>
  </si>
  <si>
    <t>60 / DEFCON 2</t>
  </si>
  <si>
    <t>🔴 FLAG: CapEx/OCF &gt;60% | DEFCON 2 (60) | ⏸ Einfrieren</t>
  </si>
  <si>
    <t>29.04.2026 Q3 FY26 Earnings</t>
  </si>
  <si>
    <t>08.04.2026</t>
  </si>
  <si>
    <t>[V] Re-Analyse 08.04.: Score 77→60 (−17). CapEx/OCF Q2 FY26 83.6% (bereinigt ~63%). ROIC 7.5% &lt; WACC 13.35%. FLAG aktiv. Re-Check 29.04.: bereinigtes CapEx/OCF &lt;60% = FLAG-Auflösung möglich.</t>
  </si>
  <si>
    <t>COST</t>
  </si>
  <si>
    <t>Costco Wholesale</t>
  </si>
  <si>
    <t>Einzelhandel</t>
  </si>
  <si>
    <t>~50–55x [~]</t>
  </si>
  <si>
    <t>~30% [~]</t>
  </si>
  <si>
    <t>~13% ✅</t>
  </si>
  <si>
    <t>~10% [~]</t>
  </si>
  <si>
    <t>8 / Wide ✅</t>
  </si>
  <si>
    <t>Exception (GM)</t>
  </si>
  <si>
    <t>Ja</t>
  </si>
  <si>
    <t>~80 / DEFCON 4</t>
  </si>
  <si>
    <t>🟢 Halten</t>
  </si>
  <si>
    <t>28.05.2026</t>
  </si>
  <si>
    <t>[~] Exception: GM ~13% strukturell (Membership-Fee). P/FCF &gt; 45x Exception aktiv. !Analysiere ausstehend.</t>
  </si>
  <si>
    <t>RMS</t>
  </si>
  <si>
    <t>Hermès Intl. (EUR)</t>
  </si>
  <si>
    <t>Luxus</t>
  </si>
  <si>
    <t>~38x [V]</t>
  </si>
  <si>
    <t>~22% [V]</t>
  </si>
  <si>
    <t>~70% [V]</t>
  </si>
  <si>
    <t>Wide [~]</t>
  </si>
  <si>
    <t>69 / DEFCON 4</t>
  </si>
  <si>
    <t>🟢 Halten | Q1 2026 Miss: −8.4% Kurs (FX €290M + Mittl. Osten). Moat Wide intakt.</t>
  </si>
  <si>
    <t>H1 2026 Report Juli/Aug 2026</t>
  </si>
  <si>
    <t>15.04.2026</t>
  </si>
  <si>
    <t>[V] Re-Analyse 15.04.2026: Score 71→69 (−2). Q1 2026: €4.07B (+6% CER, −1% reported). Miss vs. +7–8% Konsens. Kursreaktion −8.4% (€1.783→€1.632,50). 52W-Tief €1.529 intraday. Treiber: Mittlerer Osten −6% (Iran-Krieg, UAE Malls −40%), FX-Headwind €290M, China +2%. Positiv: Leder +9%, ROIC 24%&gt;&gt;WACC 6.5%, Insider Buy +€7.67M (AMF). Kein FLAG. Sparplan voll aktiv. Nächster Check: H1 2026 Report.</t>
  </si>
  <si>
    <t>VEEV</t>
  </si>
  <si>
    <t>Veeva Systems</t>
  </si>
  <si>
    <t>Healthcare-SW</t>
  </si>
  <si>
    <t>~45x [V]</t>
  </si>
  <si>
    <t>~25% [V]</t>
  </si>
  <si>
    <t>~74% [V]</t>
  </si>
  <si>
    <t>~17% [~]</t>
  </si>
  <si>
    <t>74 / DEFCON 4</t>
  </si>
  <si>
    <t>21.05.2026 Q1 FY27</t>
  </si>
  <si>
    <t>09.04.2026</t>
  </si>
  <si>
    <t>[V] DEFCON 4 (74/100). Asset-light SaaS. Moat Wide (Switching Costs Life-Science). CapEx/OCF &lt;10%. Sparplan voll aktiv.</t>
  </si>
  <si>
    <t>SU</t>
  </si>
  <si>
    <t>Schneider Electric (EUR)</t>
  </si>
  <si>
    <t>Industrials</t>
  </si>
  <si>
    <t>~20–25x [~]</t>
  </si>
  <si>
    <t>~12% [~]</t>
  </si>
  <si>
    <t>~40% [~]</t>
  </si>
  <si>
    <t>~11% [~]</t>
  </si>
  <si>
    <t>07.05.2026</t>
  </si>
  <si>
    <t>[~] EUR-denominiert. ROIC ~12% Grenzfall. Non-US IFRS. !Analysiere ausstehend. ADR: SBGSY.</t>
  </si>
  <si>
    <t>BRK.B</t>
  </si>
  <si>
    <t>Berkshire Hathaway B</t>
  </si>
  <si>
    <t>Holding/Vers.</t>
  </si>
  <si>
    <t>n.a.*</t>
  </si>
  <si>
    <t>~8% [~]</t>
  </si>
  <si>
    <t>~1,5–1,6x P/B</t>
  </si>
  <si>
    <t>30.06.2026</t>
  </si>
  <si>
    <t>[~] Exception: P/B ~1.5–1.6x ✅ (&lt;1.5x = Kaufsignal Buffett). Float &gt;70B. Holding-Float-Logik aktiv.</t>
  </si>
  <si>
    <t>V</t>
  </si>
  <si>
    <t>Visa Inc.</t>
  </si>
  <si>
    <t>Payments</t>
  </si>
  <si>
    <t>~28–32x [~]</t>
  </si>
  <si>
    <t>~45% [~]</t>
  </si>
  <si>
    <t>~80% [KB]</t>
  </si>
  <si>
    <t>22.07.2026</t>
  </si>
  <si>
    <t>[~] Asset-light Netz. ROIC ~45%, Moat 9/10 ✅. P/FCF ~30x attraktiv. !Analysiere ausstehend.</t>
  </si>
  <si>
    <t>TMO</t>
  </si>
  <si>
    <t>Thermo Fisher Sci.</t>
  </si>
  <si>
    <t>Life Sciences</t>
  </si>
  <si>
    <t>~29x [V]</t>
  </si>
  <si>
    <t>~9% [V]</t>
  </si>
  <si>
    <t>~4% [~]</t>
  </si>
  <si>
    <t>67 / DEFCON 3</t>
  </si>
  <si>
    <t>23.04.2026 Q1 Earnings</t>
  </si>
  <si>
    <t>07.04.2026</t>
  </si>
  <si>
    <t>[V] Re-Analyse 07.04.: Score 65→67 (+2). Net Debt/EBITDA 3.6x→2.57x ✅. Fwd P/E 27x→19.9x ✅. ROIC 2.6% &lt; WACC bleibt Schwäche. FCF −13.4% YoY. Trigger 23.04.: FCF &gt;.3B nötig.</t>
  </si>
  <si>
    <t>APH</t>
  </si>
  <si>
    <t>Amphenol Corp.</t>
  </si>
  <si>
    <t>Steckverbinder</t>
  </si>
  <si>
    <t>~25–30x [~]</t>
  </si>
  <si>
    <t>~22% [~]</t>
  </si>
  <si>
    <t>~34% [~]</t>
  </si>
  <si>
    <t>~18% [~]</t>
  </si>
  <si>
    <t>61 / DEFCON 3</t>
  </si>
  <si>
    <t>🔴 FLAG: Score 61 (DEFCON 3) | CN Revenue 14.7% Risk-Map [TC] | Sparrate 0€</t>
  </si>
  <si>
    <t>Q2 2025 Earnings 23.07.2025</t>
  </si>
  <si>
    <t>[V+TC] DEFCON 3 (61/100). FLAG aktiv (Score-basiert). Tariff-Check 15.04.: China Revenue 14.7% &lt; 15%-Schwelle → kein Revenue-FLAG. Supply-Chain CN/MY bestätigt (CEO Q1 2025 Call). Risk-Map-Notiz aktiv.</t>
  </si>
  <si>
    <t>Sparrate-Check</t>
  </si>
  <si>
    <t>Gesamt:</t>
  </si>
  <si>
    <t>→ muss = 285,00 €</t>
  </si>
  <si>
    <t>LEGENDE &amp; DATENQUALITÄT</t>
  </si>
  <si>
    <t>✅ Fetched Live – GuruFocus term-pages 02.04.2026: Moat-Scores ASML(9) COST(8) VEEV(8) V(9) MSFT(9)</t>
  </si>
  <si>
    <t>[KB] – Kalibrierungsanalyse: AVGO 86/100 (25.03.), TMO 65→67 (07.04.), ASML 68 (06.04.), MSFT 77→60 (08.04.), APH 61 (09.04.), RMS 71→69 (15.04. Re-Analyse), VEEV 74 (09.04.)</t>
  </si>
  <si>
    <t>[~] – Schätzung Wissensbasis (plausibel) | [V] – Vollanalyse verifiziert | [TC] – Tariff-Check abgeschlossen 15.04.2026</t>
  </si>
  <si>
    <t>🔴 EINGEFROREN: MSFT (FLAG+D2, Score 60) | APH (FLAG, Score 61) — Sparrate 0€</t>
  </si>
  <si>
    <t>🟡 DEFCON 3 volle Rate: ASML (D3, 68) | TMO (D3, 67) — Sparrate 31,67€/Monat (D3=1.0 lt. Sparplan-Logik v3.4)</t>
  </si>
  <si>
    <t>🦅  DYNASTIEDEPOT – QUICKSCREEN AMPEL  |  15.04.2026</t>
  </si>
  <si>
    <t>Filter: P/FCF ≤35x 🟢 / ≤45x 🟡 / &gt;45x 🔴  |  ROIC ≥15% 🟢 / ≥12% 🟡 / &lt;12% 🔴  |  Moat Wide 🟢 / Narrow 🟡 / None 🔴  |  FLAG überschreibt immer → 🔴</t>
  </si>
  <si>
    <t>P/FCF Filter</t>
  </si>
  <si>
    <t>ROIC Filter</t>
  </si>
  <si>
    <t>Moat Filter</t>
  </si>
  <si>
    <t>FLAG</t>
  </si>
  <si>
    <t>Gesamt-Ampel</t>
  </si>
  <si>
    <t>Nächster Schritt</t>
  </si>
  <si>
    <t>Broadcom</t>
  </si>
  <si>
    <t>🟢 ~22x</t>
  </si>
  <si>
    <t>🟢 ~65%</t>
  </si>
  <si>
    <t>🟢 Wide</t>
  </si>
  <si>
    <t>✅</t>
  </si>
  <si>
    <t>🟢 HALTEN</t>
  </si>
  <si>
    <t>Sparplan aktiv. Kalibrierungsanker.</t>
  </si>
  <si>
    <t>Costco</t>
  </si>
  <si>
    <t>🟢 Exception</t>
  </si>
  <si>
    <t>🟢 ~30%</t>
  </si>
  <si>
    <t>Exception. Membership-Moat ✅.</t>
  </si>
  <si>
    <t>Visa</t>
  </si>
  <si>
    <t>🟢 ~28–32x</t>
  </si>
  <si>
    <t>🟢 ~45%</t>
  </si>
  <si>
    <t>Wide 9/10 ✅. P/FCF attraktiv.</t>
  </si>
  <si>
    <t>Schneider Elec.</t>
  </si>
  <si>
    <t>🟢 ~20–25x</t>
  </si>
  <si>
    <t>🟡 ~12%</t>
  </si>
  <si>
    <t>ROIC Grenzfall – nächster !Analysiere.</t>
  </si>
  <si>
    <t>Berkshire B</t>
  </si>
  <si>
    <t>Exception. P/B ~1,5–1,6x ✅.</t>
  </si>
  <si>
    <t>Amphenol</t>
  </si>
  <si>
    <t>🟢 ~25–30x</t>
  </si>
  <si>
    <t>🟢 ~22%</t>
  </si>
  <si>
    <t>🔴 FLAG (Score)</t>
  </si>
  <si>
    <t>🔴 FLAG / ⏸ EINGEFROREN</t>
  </si>
  <si>
    <t>Score 61 (DEFCON 3). FLAG aktiv. Tariff-Check done: CN 14.7% Risk-Map. Sparrate 0€. Re-Check Q2 Earnings 23.07.</t>
  </si>
  <si>
    <t>ASML Holding</t>
  </si>
  <si>
    <t>🟡 ~42–50x</t>
  </si>
  <si>
    <t>🟢 ~35%</t>
  </si>
  <si>
    <t>🟡 PRÜFEN</t>
  </si>
  <si>
    <t>DEFCON 3 (68). Moat 19/20 Wide. Bewertung P/FCF ~41x = Prämie ohne Marge. Sockelbetrag 15,83€. Re-Analyse Q1 2026.</t>
  </si>
  <si>
    <t>Hermès</t>
  </si>
  <si>
    <t>🟡 ~38x</t>
  </si>
  <si>
    <t>🟢 ~40%</t>
  </si>
  <si>
    <t>Re-Analyse 15.04.2026: Score 71→69 (−2). DEFCON 4 bestätigt. Q1 2026: −8.4% Kursreaktion (FX+Mittlerer Osten exogen, Moat intakt). Sparplan voll aktiv. H1 2026 Report Juli/Aug.</t>
  </si>
  <si>
    <t>🟡 ~45x</t>
  </si>
  <si>
    <t>🟡 ~18%</t>
  </si>
  <si>
    <t>Vollanalyse 09.04.: Score 74, DEFCON 4. SaaS Wide Moat. Sparplan voll aktiv.</t>
  </si>
  <si>
    <t>Microsoft</t>
  </si>
  <si>
    <t>🟡 ~35–38x</t>
  </si>
  <si>
    <t>🔴 ~7.5%</t>
  </si>
  <si>
    <t>🔴 FLAG</t>
  </si>
  <si>
    <t>🔴 FLAG / DEFCON 2 / ⏸ EINFRIEREN</t>
  </si>
  <si>
    <t>Score 60 (↓17). DEFCON 2. FLAG CapEx/OCF &gt;60% (bereinigt ~63%). ROIC 7.5% &lt; WACC 13.35%. Re-Check 29.04.</t>
  </si>
  <si>
    <t>Thermo Fisher</t>
  </si>
  <si>
    <t>🟢 ~28x</t>
  </si>
  <si>
    <t>🔴 ~9%</t>
  </si>
  <si>
    <t>🟡 DEFCON 3 / ⏸ SOCKELBETRAG</t>
  </si>
  <si>
    <t>Score 67 (↑2). ROIC&lt;WACC. FCF −13.4% YoY. Sockelbetrag 17,81€. Re-Analyse 23.04. Q1 Earnings.</t>
  </si>
  <si>
    <t>LEGENDE</t>
  </si>
  <si>
    <t>🟢 HALTEN: Alle 3 Filter grün + kein FLAG → Sparplan aktiv</t>
  </si>
  <si>
    <t>🟡 PRÜFEN: Mind. 1 Filter gelb + kein FLAG → Halten, erhöhtes Monitoring</t>
  </si>
  <si>
    <t>🔴 EINGEFROREN: FLAG aktiv (MSFT, APH) → Sparrate = 0€, Re-Analyse Pflicht</t>
  </si>
  <si>
    <t>Exception-Logik: COST (GM strukturell ~13%), BRK.B (P/B statt P/FCF) → zählen als grün | Stand: 15.04.2026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</si>
</sst>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€#,##0.00"/>
  </numFmts>
  <fonts count="11" x14ac:knownFonts="1">
    <font>
      <sz val="11"/>
      <color theme="1"/>
      <name val="Calibri"/>
      <family val="2"/>
      <charset val="1"/>
    </font>
    <font>
      <b/>
      <sz val="12"/>
      <color rgb="FFFFFFFF"/>
      <name val="Calibri"/>
      <charset val="1"/>
    </font>
    <font>
      <sz val="9"/>
      <color rgb="FFFFFFFF"/>
      <name val="Calibri"/>
      <charset val="1"/>
    </font>
    <font>
      <b/>
      <sz val="10"/>
      <color rgb="FFFFFFFF"/>
      <name val="Calibri"/>
      <charset val="1"/>
    </font>
    <font>
      <b/>
      <sz val="9"/>
      <name val="Calibri"/>
      <charset val="1"/>
    </font>
    <font>
      <sz val="9"/>
      <name val="Calibri"/>
      <charset val="1"/>
    </font>
    <font>
      <sz val="9"/>
      <color rgb="FF0000FF"/>
      <name val="Calibri"/>
      <charset val="1"/>
    </font>
    <font>
      <sz val="9"/>
      <color rgb="FF000000"/>
      <name val="Calibri"/>
      <charset val="1"/>
    </font>
    <font>
      <i/>
      <sz val="9"/>
      <color rgb="FF888888"/>
      <name val="Calibri"/>
      <charset val="1"/>
    </font>
    <font>
      <b/>
      <sz val="9"/>
      <color rgb="FFFFFFFF"/>
      <name val="Calibri"/>
      <charset val="1"/>
    </font>
    <font>
      <sz val="8"/>
      <color rgb="FF444444"/>
      <name val="Calibri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2E4B7C"/>
      </patternFill>
    </fill>
    <fill>
      <patternFill patternType="solid">
        <fgColor rgb="FF2E4B7C"/>
        <bgColor rgb="FF1F3864"/>
      </patternFill>
    </fill>
    <fill>
      <patternFill patternType="solid">
        <fgColor rgb="FFF2F2F2"/>
        <bgColor rgb="FFF5F5F5"/>
      </patternFill>
    </fill>
    <fill>
      <patternFill patternType="solid">
        <fgColor rgb="FFFAFAFA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EBF3FF"/>
        <bgColor rgb="FFF2F2F2"/>
      </patternFill>
    </fill>
    <fill>
      <patternFill patternType="solid">
        <fgColor rgb="FFF5F5F5"/>
        <bgColor rgb="FFF2F2F2"/>
      </patternFill>
    </fill>
    <fill>
      <patternFill patternType="solid">
        <fgColor rgb="FFE2EFDA"/>
        <bgColor rgb="FFD6F0DA"/>
      </patternFill>
    </fill>
    <fill>
      <patternFill patternType="solid">
        <fgColor rgb="FFFFE0E0"/>
        <bgColor rgb="FFFCE4D6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4" borderId="0" xfId="0" applyFill="1"/>
    <xf numFmtId="0" fontId="3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 indent="1"/>
    </xf>
    <xf numFmtId="0" fontId="5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164" fontId="7" fillId="7" borderId="1" xfId="0" applyNumberFormat="1" applyFont="1" applyFill="1" applyBorder="1" applyAlignment="1">
      <alignment horizontal="right" vertical="center"/>
    </xf>
    <xf numFmtId="0" fontId="4" fillId="8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left" vertical="center" wrapText="1" indent="1"/>
    </xf>
    <xf numFmtId="0" fontId="5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164" fontId="7" fillId="10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 wrapText="1" indent="1"/>
    </xf>
    <xf numFmtId="164" fontId="4" fillId="9" borderId="1" xfId="0" applyNumberFormat="1" applyFont="1" applyFill="1" applyBorder="1" applyAlignment="1">
      <alignment horizontal="right" vertical="center"/>
    </xf>
    <xf numFmtId="0" fontId="5" fillId="9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top" wrapText="1"/>
    </xf>
    <xf numFmtId="0" fontId="5" fillId="8" borderId="1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left" vertical="center" wrapText="1" indent="1"/>
    </xf>
    <xf numFmtId="0" fontId="0" fillId="0" borderId="2" xfId="0" applyBorder="1"/>
    <xf numFmtId="0" fontId="0" fillId="0" borderId="3" xfId="0" applyBorder="1"/>
    <xf numFmtId="0" fontId="2" fillId="3" borderId="0" xfId="0" applyFont="1" applyFill="1" applyAlignment="1">
      <alignment horizontal="left" vertical="center" wrapText="1" indent="1"/>
    </xf>
    <xf numFmtId="0" fontId="0" fillId="0" borderId="0" xfId="0"/>
    <xf numFmtId="0" fontId="2" fillId="2" borderId="0" xfId="0" applyFont="1" applyFill="1" applyAlignment="1">
      <alignment horizontal="right" vertical="center" indent="1"/>
    </xf>
    <xf numFmtId="0" fontId="9" fillId="3" borderId="0" xfId="0" applyFont="1" applyFill="1" applyAlignment="1">
      <alignment horizontal="left" vertical="center" wrapText="1" indent="1"/>
    </xf>
    <xf numFmtId="0" fontId="2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right" vertical="center" indent="1"/>
    </xf>
    <xf numFmtId="0" fontId="1" fillId="2" borderId="0" xfId="0" applyFont="1" applyFill="1" applyAlignment="1">
      <alignment horizontal="left" vertical="center" indent="1"/>
    </xf>
    <xf numFmtId="0" fontId="4" fillId="4" borderId="1" xfId="0" applyFont="1" applyFill="1" applyBorder="1" applyAlignment="1">
      <alignment horizontal="right" vertical="center"/>
    </xf>
    <xf numFmtId="0" fontId="1" fillId="2" borderId="0" xfId="0" applyFont="1" applyFill="1" applyAlignment="1">
      <alignment horizontal="left" vertical="center" wrapText="1" indent="1"/>
    </xf>
    <xf numFmtId="0" fontId="9" fillId="3" borderId="1" xfId="0" applyFont="1" applyFill="1" applyBorder="1" applyAlignment="1">
      <alignment horizontal="left" vertical="center" wrapText="1" indent="1"/>
    </xf>
  </cellXfs>
  <cellStyles count="1">
    <cellStyle name="Standard" xfId="0" builtinId="0"/>
  </cellStyles>
  <dxfs count="15">
    <dxf>
      <font>
        <b/>
        <sz val="9"/>
        <color rgb="FFCC0000"/>
      </font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D6F0DA"/>
        </patternFill>
      </fill>
    </dxf>
    <dxf>
      <fill>
        <patternFill>
          <bgColor rgb="FFD6F0DA"/>
        </patternFill>
      </fill>
    </dxf>
    <dxf>
      <fill>
        <patternFill>
          <bgColor rgb="FFFFD0D0"/>
        </patternFill>
      </fill>
    </dxf>
    <dxf>
      <font>
        <b/>
        <sz val="9"/>
      </font>
      <fill>
        <patternFill>
          <bgColor rgb="FFE2EFDA"/>
        </patternFill>
      </fill>
    </dxf>
    <dxf>
      <font>
        <b/>
        <sz val="9"/>
      </font>
      <fill>
        <patternFill>
          <bgColor rgb="FFFFF2CC"/>
        </patternFill>
      </fill>
    </dxf>
    <dxf>
      <font>
        <b/>
        <sz val="9"/>
        <color rgb="FFCC0000"/>
      </font>
      <fill>
        <patternFill>
          <bgColor rgb="FFFFE0E0"/>
        </patternFill>
      </fill>
    </dxf>
    <dxf>
      <fill>
        <patternFill>
          <bgColor rgb="FFF5F5F5"/>
        </patternFill>
      </fill>
    </dxf>
    <dxf>
      <font>
        <b/>
        <sz val="9"/>
        <color rgb="FF006600"/>
      </font>
      <fill>
        <patternFill>
          <bgColor rgb="FFD6F0DA"/>
        </patternFill>
      </fill>
    </dxf>
    <dxf>
      <font>
        <b/>
        <sz val="9"/>
        <color rgb="FFCC0000"/>
      </font>
      <fill>
        <patternFill>
          <bgColor rgb="FFFFD0D0"/>
        </patternFill>
      </fill>
    </dxf>
    <dxf>
      <fill>
        <patternFill>
          <bgColor rgb="FFEBF3FF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D6F0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2CC"/>
      <rgbColor rgb="FFEBF3FF"/>
      <rgbColor rgb="FF660066"/>
      <rgbColor rgb="FFFF8080"/>
      <rgbColor rgb="FF0066CC"/>
      <rgbColor rgb="FFFF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6F0DA"/>
      <rgbColor rgb="FFFCE4D6"/>
      <rgbColor rgb="FFF2F2F2"/>
      <rgbColor rgb="FFF5F5F5"/>
      <rgbColor rgb="FFFAFAFA"/>
      <rgbColor rgb="FFFFD0D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4B7C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S25"/>
  <sheetViews>
    <sheetView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U13" sqref="U13"/>
    </sheetView>
  </sheetViews>
  <sheetFormatPr baseColWidth="10" defaultColWidth="9.140625" defaultRowHeight="15" x14ac:dyDescent="0.25"/>
  <cols>
    <col min="1" max="1" width="2" customWidth="1"/>
    <col min="2" max="2" width="7" customWidth="1"/>
    <col min="3" max="3" width="18" customWidth="1"/>
    <col min="4" max="4" width="14" customWidth="1"/>
    <col min="5" max="5" width="12" customWidth="1"/>
    <col min="6" max="6" width="10" customWidth="1"/>
    <col min="7" max="7" width="11" customWidth="1"/>
    <col min="8" max="8" width="10" customWidth="1"/>
    <col min="9" max="9" width="13" customWidth="1"/>
    <col min="10" max="10" width="14" customWidth="1"/>
    <col min="11" max="11" width="8" customWidth="1"/>
    <col min="12" max="12" width="14" customWidth="1"/>
    <col min="13" max="13" width="8" customWidth="1"/>
    <col min="14" max="14" width="21.28515625" customWidth="1"/>
    <col min="15" max="15" width="10" customWidth="1"/>
    <col min="16" max="16" width="13" customWidth="1"/>
    <col min="17" max="17" width="11" customWidth="1"/>
    <col min="18" max="18" width="9" customWidth="1"/>
    <col min="19" max="19" width="48" customWidth="1"/>
  </cols>
  <sheetData>
    <row r="1" spans="2:19" ht="6" customHeight="1" x14ac:dyDescent="0.25"/>
    <row r="2" spans="2:19" ht="27.75" customHeight="1" x14ac:dyDescent="0.25">
      <c r="B2" s="33" t="s">
        <v>0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9" t="s">
        <v>1</v>
      </c>
      <c r="P2" s="28"/>
      <c r="Q2" s="28"/>
      <c r="R2" s="28"/>
      <c r="S2" s="28"/>
    </row>
    <row r="3" spans="2:19" ht="27.75" customHeight="1" x14ac:dyDescent="0.25">
      <c r="B3" s="27" t="s">
        <v>2</v>
      </c>
      <c r="C3" s="28"/>
      <c r="D3" s="28"/>
      <c r="E3" s="31" t="s">
        <v>3</v>
      </c>
      <c r="F3" s="28"/>
      <c r="G3" s="28"/>
      <c r="H3" s="31" t="s">
        <v>4</v>
      </c>
      <c r="I3" s="28"/>
      <c r="J3" s="28"/>
      <c r="K3" s="31" t="s">
        <v>5</v>
      </c>
      <c r="L3" s="28"/>
      <c r="M3" s="28"/>
      <c r="N3" s="32" t="s">
        <v>6</v>
      </c>
      <c r="O3" s="28"/>
      <c r="P3" s="28"/>
      <c r="Q3" s="28"/>
      <c r="R3" s="28"/>
      <c r="S3" s="28"/>
    </row>
    <row r="4" spans="2:19" ht="18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2:19" ht="30" customHeight="1" x14ac:dyDescent="0.25"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  <c r="O5" s="2" t="s">
        <v>20</v>
      </c>
      <c r="P5" s="2" t="s">
        <v>21</v>
      </c>
      <c r="Q5" s="2" t="s">
        <v>22</v>
      </c>
      <c r="R5" s="2" t="s">
        <v>23</v>
      </c>
      <c r="S5" s="2" t="s">
        <v>24</v>
      </c>
    </row>
    <row r="6" spans="2:19" ht="3.75" customHeight="1" x14ac:dyDescent="0.25"/>
    <row r="7" spans="2:19" ht="69.95" customHeight="1" x14ac:dyDescent="0.25">
      <c r="B7" s="3" t="s">
        <v>25</v>
      </c>
      <c r="C7" s="4" t="s">
        <v>26</v>
      </c>
      <c r="D7" s="5" t="s">
        <v>27</v>
      </c>
      <c r="E7" s="6" t="s">
        <v>28</v>
      </c>
      <c r="F7" s="6" t="s">
        <v>29</v>
      </c>
      <c r="G7" s="6" t="s">
        <v>30</v>
      </c>
      <c r="H7" s="6" t="s">
        <v>31</v>
      </c>
      <c r="I7" s="5" t="s">
        <v>32</v>
      </c>
      <c r="J7" s="5" t="s">
        <v>33</v>
      </c>
      <c r="K7" s="5" t="s">
        <v>34</v>
      </c>
      <c r="L7" s="5" t="s">
        <v>35</v>
      </c>
      <c r="M7" s="5" t="s">
        <v>36</v>
      </c>
      <c r="N7" s="7" t="s">
        <v>37</v>
      </c>
      <c r="O7" s="8">
        <v>17.809999999999999</v>
      </c>
      <c r="P7" s="5" t="s">
        <v>38</v>
      </c>
      <c r="Q7" s="5" t="s">
        <v>39</v>
      </c>
      <c r="R7" s="5">
        <v>9</v>
      </c>
      <c r="S7" s="4" t="s">
        <v>40</v>
      </c>
    </row>
    <row r="8" spans="2:19" ht="69.95" customHeight="1" x14ac:dyDescent="0.25">
      <c r="B8" s="9" t="s">
        <v>41</v>
      </c>
      <c r="C8" s="10" t="s">
        <v>42</v>
      </c>
      <c r="D8" s="11" t="s">
        <v>43</v>
      </c>
      <c r="E8" s="12" t="s">
        <v>44</v>
      </c>
      <c r="F8" s="12" t="s">
        <v>45</v>
      </c>
      <c r="G8" s="12" t="s">
        <v>46</v>
      </c>
      <c r="H8" s="12" t="s">
        <v>47</v>
      </c>
      <c r="I8" s="11" t="s">
        <v>48</v>
      </c>
      <c r="J8" s="11" t="s">
        <v>33</v>
      </c>
      <c r="K8" s="11" t="s">
        <v>34</v>
      </c>
      <c r="L8" s="11" t="s">
        <v>49</v>
      </c>
      <c r="M8" s="11">
        <v>0</v>
      </c>
      <c r="N8" s="13" t="s">
        <v>50</v>
      </c>
      <c r="O8" s="8">
        <v>35.630000000000003</v>
      </c>
      <c r="P8" s="11" t="s">
        <v>51</v>
      </c>
      <c r="Q8" s="11" t="s">
        <v>52</v>
      </c>
      <c r="R8" s="11">
        <v>21</v>
      </c>
      <c r="S8" s="10" t="s">
        <v>53</v>
      </c>
    </row>
    <row r="9" spans="2:19" ht="69.95" customHeight="1" x14ac:dyDescent="0.25">
      <c r="B9" s="3" t="s">
        <v>54</v>
      </c>
      <c r="C9" s="4" t="s">
        <v>55</v>
      </c>
      <c r="D9" s="5" t="s">
        <v>56</v>
      </c>
      <c r="E9" s="6" t="s">
        <v>57</v>
      </c>
      <c r="F9" s="6" t="s">
        <v>58</v>
      </c>
      <c r="G9" s="6" t="s">
        <v>59</v>
      </c>
      <c r="H9" s="6" t="s">
        <v>60</v>
      </c>
      <c r="I9" s="5" t="s">
        <v>32</v>
      </c>
      <c r="J9" s="5" t="s">
        <v>33</v>
      </c>
      <c r="K9" s="5" t="s">
        <v>34</v>
      </c>
      <c r="L9" s="5" t="s">
        <v>61</v>
      </c>
      <c r="M9" s="5">
        <v>-17</v>
      </c>
      <c r="N9" s="14" t="s">
        <v>62</v>
      </c>
      <c r="O9" s="15">
        <v>0</v>
      </c>
      <c r="P9" s="5" t="s">
        <v>63</v>
      </c>
      <c r="Q9" s="5" t="s">
        <v>64</v>
      </c>
      <c r="R9" s="5">
        <v>7</v>
      </c>
      <c r="S9" s="4" t="s">
        <v>65</v>
      </c>
    </row>
    <row r="10" spans="2:19" ht="69.95" customHeight="1" x14ac:dyDescent="0.25">
      <c r="B10" s="9" t="s">
        <v>66</v>
      </c>
      <c r="C10" s="10" t="s">
        <v>67</v>
      </c>
      <c r="D10" s="11" t="s">
        <v>68</v>
      </c>
      <c r="E10" s="12" t="s">
        <v>69</v>
      </c>
      <c r="F10" s="12" t="s">
        <v>70</v>
      </c>
      <c r="G10" s="12" t="s">
        <v>71</v>
      </c>
      <c r="H10" s="12" t="s">
        <v>72</v>
      </c>
      <c r="I10" s="11" t="s">
        <v>73</v>
      </c>
      <c r="J10" s="11" t="s">
        <v>74</v>
      </c>
      <c r="K10" s="11" t="s">
        <v>75</v>
      </c>
      <c r="L10" s="11" t="s">
        <v>76</v>
      </c>
      <c r="M10" s="11" t="s">
        <v>36</v>
      </c>
      <c r="N10" s="13" t="s">
        <v>77</v>
      </c>
      <c r="O10" s="8">
        <v>35.630000000000003</v>
      </c>
      <c r="P10" s="11" t="s">
        <v>78</v>
      </c>
      <c r="Q10" s="11" t="s">
        <v>36</v>
      </c>
      <c r="R10" s="11" t="s">
        <v>36</v>
      </c>
      <c r="S10" s="10" t="s">
        <v>79</v>
      </c>
    </row>
    <row r="11" spans="2:19" ht="69.95" customHeight="1" x14ac:dyDescent="0.25">
      <c r="B11" s="3" t="s">
        <v>80</v>
      </c>
      <c r="C11" s="4" t="s">
        <v>81</v>
      </c>
      <c r="D11" s="5" t="s">
        <v>82</v>
      </c>
      <c r="E11" s="6" t="s">
        <v>83</v>
      </c>
      <c r="F11" s="6" t="s">
        <v>84</v>
      </c>
      <c r="G11" s="6" t="s">
        <v>85</v>
      </c>
      <c r="H11" s="6" t="s">
        <v>60</v>
      </c>
      <c r="I11" s="5" t="s">
        <v>86</v>
      </c>
      <c r="J11" s="5" t="s">
        <v>33</v>
      </c>
      <c r="K11" s="5" t="s">
        <v>34</v>
      </c>
      <c r="L11" s="5" t="s">
        <v>87</v>
      </c>
      <c r="M11" s="5">
        <v>-2</v>
      </c>
      <c r="N11" s="7" t="s">
        <v>88</v>
      </c>
      <c r="O11" s="8">
        <v>35.630000000000003</v>
      </c>
      <c r="P11" s="5" t="s">
        <v>89</v>
      </c>
      <c r="Q11" s="5" t="s">
        <v>90</v>
      </c>
      <c r="R11" s="5">
        <v>0</v>
      </c>
      <c r="S11" s="4" t="s">
        <v>91</v>
      </c>
    </row>
    <row r="12" spans="2:19" ht="69.95" customHeight="1" x14ac:dyDescent="0.25">
      <c r="B12" s="9" t="s">
        <v>92</v>
      </c>
      <c r="C12" s="10" t="s">
        <v>93</v>
      </c>
      <c r="D12" s="11" t="s">
        <v>94</v>
      </c>
      <c r="E12" s="12" t="s">
        <v>95</v>
      </c>
      <c r="F12" s="12" t="s">
        <v>96</v>
      </c>
      <c r="G12" s="12" t="s">
        <v>97</v>
      </c>
      <c r="H12" s="12" t="s">
        <v>98</v>
      </c>
      <c r="I12" s="11" t="s">
        <v>73</v>
      </c>
      <c r="J12" s="11" t="s">
        <v>33</v>
      </c>
      <c r="K12" s="11" t="s">
        <v>34</v>
      </c>
      <c r="L12" s="11" t="s">
        <v>99</v>
      </c>
      <c r="M12" s="11" t="s">
        <v>36</v>
      </c>
      <c r="N12" s="7" t="s">
        <v>77</v>
      </c>
      <c r="O12" s="8">
        <v>35.630000000000003</v>
      </c>
      <c r="P12" s="11" t="s">
        <v>100</v>
      </c>
      <c r="Q12" s="11" t="s">
        <v>101</v>
      </c>
      <c r="R12" s="11">
        <v>6</v>
      </c>
      <c r="S12" s="10" t="s">
        <v>102</v>
      </c>
    </row>
    <row r="13" spans="2:19" ht="69.95" customHeight="1" x14ac:dyDescent="0.25">
      <c r="B13" s="3" t="s">
        <v>103</v>
      </c>
      <c r="C13" s="4" t="s">
        <v>104</v>
      </c>
      <c r="D13" s="5" t="s">
        <v>105</v>
      </c>
      <c r="E13" s="6" t="s">
        <v>106</v>
      </c>
      <c r="F13" s="6" t="s">
        <v>107</v>
      </c>
      <c r="G13" s="6" t="s">
        <v>108</v>
      </c>
      <c r="H13" s="6" t="s">
        <v>109</v>
      </c>
      <c r="I13" s="5" t="s">
        <v>86</v>
      </c>
      <c r="J13" s="5" t="s">
        <v>33</v>
      </c>
      <c r="K13" s="5" t="s">
        <v>34</v>
      </c>
      <c r="L13" s="5" t="s">
        <v>76</v>
      </c>
      <c r="M13" s="5" t="s">
        <v>36</v>
      </c>
      <c r="N13" s="13" t="s">
        <v>77</v>
      </c>
      <c r="O13" s="8">
        <v>35.630000000000003</v>
      </c>
      <c r="P13" s="5" t="s">
        <v>110</v>
      </c>
      <c r="Q13" s="5" t="s">
        <v>36</v>
      </c>
      <c r="R13" s="5" t="s">
        <v>36</v>
      </c>
      <c r="S13" s="4" t="s">
        <v>111</v>
      </c>
    </row>
    <row r="14" spans="2:19" ht="69.95" customHeight="1" x14ac:dyDescent="0.25">
      <c r="B14" s="9" t="s">
        <v>112</v>
      </c>
      <c r="C14" s="10" t="s">
        <v>113</v>
      </c>
      <c r="D14" s="11" t="s">
        <v>114</v>
      </c>
      <c r="E14" s="12" t="s">
        <v>16</v>
      </c>
      <c r="F14" s="12" t="s">
        <v>16</v>
      </c>
      <c r="G14" s="12" t="s">
        <v>115</v>
      </c>
      <c r="H14" s="12" t="s">
        <v>116</v>
      </c>
      <c r="I14" s="11" t="s">
        <v>86</v>
      </c>
      <c r="J14" s="11" t="s">
        <v>117</v>
      </c>
      <c r="K14" s="11" t="s">
        <v>75</v>
      </c>
      <c r="L14" s="11" t="s">
        <v>76</v>
      </c>
      <c r="M14" s="11" t="s">
        <v>36</v>
      </c>
      <c r="N14" s="13" t="s">
        <v>77</v>
      </c>
      <c r="O14" s="8">
        <v>35.630000000000003</v>
      </c>
      <c r="P14" s="11" t="s">
        <v>118</v>
      </c>
      <c r="Q14" s="11" t="s">
        <v>36</v>
      </c>
      <c r="R14" s="11" t="s">
        <v>36</v>
      </c>
      <c r="S14" s="10" t="s">
        <v>119</v>
      </c>
    </row>
    <row r="15" spans="2:19" ht="69.95" customHeight="1" x14ac:dyDescent="0.25">
      <c r="B15" s="3" t="s">
        <v>120</v>
      </c>
      <c r="C15" s="4" t="s">
        <v>121</v>
      </c>
      <c r="D15" s="5" t="s">
        <v>122</v>
      </c>
      <c r="E15" s="6" t="s">
        <v>123</v>
      </c>
      <c r="F15" s="6" t="s">
        <v>124</v>
      </c>
      <c r="G15" s="6" t="s">
        <v>125</v>
      </c>
      <c r="H15" s="6" t="s">
        <v>107</v>
      </c>
      <c r="I15" s="5" t="s">
        <v>32</v>
      </c>
      <c r="J15" s="5" t="s">
        <v>33</v>
      </c>
      <c r="K15" s="5" t="s">
        <v>34</v>
      </c>
      <c r="L15" s="5" t="s">
        <v>76</v>
      </c>
      <c r="M15" s="5" t="s">
        <v>36</v>
      </c>
      <c r="N15" s="13" t="s">
        <v>77</v>
      </c>
      <c r="O15" s="8">
        <v>35.630000000000003</v>
      </c>
      <c r="P15" s="5" t="s">
        <v>126</v>
      </c>
      <c r="Q15" s="5" t="s">
        <v>36</v>
      </c>
      <c r="R15" s="5" t="s">
        <v>36</v>
      </c>
      <c r="S15" s="4" t="s">
        <v>127</v>
      </c>
    </row>
    <row r="16" spans="2:19" ht="69.95" customHeight="1" x14ac:dyDescent="0.25">
      <c r="B16" s="9" t="s">
        <v>128</v>
      </c>
      <c r="C16" s="10" t="s">
        <v>129</v>
      </c>
      <c r="D16" s="11" t="s">
        <v>130</v>
      </c>
      <c r="E16" s="12" t="s">
        <v>131</v>
      </c>
      <c r="F16" s="12" t="s">
        <v>132</v>
      </c>
      <c r="G16" s="12" t="s">
        <v>124</v>
      </c>
      <c r="H16" s="12" t="s">
        <v>133</v>
      </c>
      <c r="I16" s="11" t="s">
        <v>86</v>
      </c>
      <c r="J16" s="11" t="s">
        <v>33</v>
      </c>
      <c r="K16" s="11" t="s">
        <v>34</v>
      </c>
      <c r="L16" s="11" t="s">
        <v>134</v>
      </c>
      <c r="M16" s="11">
        <v>-5</v>
      </c>
      <c r="N16" s="7" t="s">
        <v>37</v>
      </c>
      <c r="O16" s="15">
        <v>17.809999999999999</v>
      </c>
      <c r="P16" s="11" t="s">
        <v>135</v>
      </c>
      <c r="Q16" s="11" t="s">
        <v>136</v>
      </c>
      <c r="R16" s="11">
        <v>8</v>
      </c>
      <c r="S16" s="10" t="s">
        <v>137</v>
      </c>
    </row>
    <row r="17" spans="2:19" ht="69.95" customHeight="1" x14ac:dyDescent="0.25">
      <c r="B17" s="3" t="s">
        <v>138</v>
      </c>
      <c r="C17" s="4" t="s">
        <v>139</v>
      </c>
      <c r="D17" s="5" t="s">
        <v>140</v>
      </c>
      <c r="E17" s="6" t="s">
        <v>141</v>
      </c>
      <c r="F17" s="6" t="s">
        <v>142</v>
      </c>
      <c r="G17" s="6" t="s">
        <v>143</v>
      </c>
      <c r="H17" s="6" t="s">
        <v>144</v>
      </c>
      <c r="I17" s="5" t="s">
        <v>86</v>
      </c>
      <c r="J17" s="5" t="s">
        <v>33</v>
      </c>
      <c r="K17" s="5" t="s">
        <v>34</v>
      </c>
      <c r="L17" s="5" t="s">
        <v>145</v>
      </c>
      <c r="M17" s="5" t="s">
        <v>36</v>
      </c>
      <c r="N17" s="13" t="s">
        <v>146</v>
      </c>
      <c r="O17" s="8">
        <v>0</v>
      </c>
      <c r="P17" s="5" t="s">
        <v>147</v>
      </c>
      <c r="Q17" s="5" t="s">
        <v>101</v>
      </c>
      <c r="R17" s="5">
        <v>6</v>
      </c>
      <c r="S17" s="4" t="s">
        <v>148</v>
      </c>
    </row>
    <row r="18" spans="2:19" ht="19.5" customHeight="1" x14ac:dyDescent="0.25">
      <c r="B18" s="34" t="s">
        <v>149</v>
      </c>
      <c r="C18" s="25"/>
      <c r="D18" s="25"/>
      <c r="E18" s="25"/>
      <c r="F18" s="25"/>
      <c r="G18" s="25"/>
      <c r="H18" s="25"/>
      <c r="I18" s="25"/>
      <c r="J18" s="25"/>
      <c r="K18" s="25"/>
      <c r="L18" s="26"/>
      <c r="M18" s="16" t="s">
        <v>150</v>
      </c>
      <c r="N18" s="17" t="s">
        <v>151</v>
      </c>
      <c r="O18" s="18">
        <f>SUM(O7:O17)</f>
        <v>285.02999999999997</v>
      </c>
    </row>
    <row r="20" spans="2:19" ht="15.75" customHeight="1" x14ac:dyDescent="0.25">
      <c r="B20" s="30" t="s">
        <v>152</v>
      </c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</row>
    <row r="21" spans="2:19" ht="13.5" customHeight="1" x14ac:dyDescent="0.25">
      <c r="B21" s="24" t="s">
        <v>153</v>
      </c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6"/>
    </row>
    <row r="22" spans="2:19" ht="13.5" customHeight="1" x14ac:dyDescent="0.25">
      <c r="B22" s="24" t="s">
        <v>154</v>
      </c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6"/>
    </row>
    <row r="23" spans="2:19" ht="13.5" customHeight="1" x14ac:dyDescent="0.25">
      <c r="B23" s="24" t="s">
        <v>155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6"/>
    </row>
    <row r="24" spans="2:19" ht="13.5" customHeight="1" x14ac:dyDescent="0.25">
      <c r="B24" s="24" t="s">
        <v>156</v>
      </c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6"/>
    </row>
    <row r="25" spans="2:19" ht="15" customHeight="1" x14ac:dyDescent="0.25">
      <c r="B25" s="24" t="s">
        <v>157</v>
      </c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6"/>
    </row>
  </sheetData>
  <mergeCells count="14">
    <mergeCell ref="B21:S21"/>
    <mergeCell ref="B3:D3"/>
    <mergeCell ref="O2:S2"/>
    <mergeCell ref="B25:S25"/>
    <mergeCell ref="B24:S24"/>
    <mergeCell ref="B20:S20"/>
    <mergeCell ref="B22:S22"/>
    <mergeCell ref="B23:S23"/>
    <mergeCell ref="K3:M3"/>
    <mergeCell ref="E3:G3"/>
    <mergeCell ref="N3:S3"/>
    <mergeCell ref="H3:J3"/>
    <mergeCell ref="B2:N2"/>
    <mergeCell ref="B18:L18"/>
  </mergeCells>
  <conditionalFormatting sqref="L7:L17">
    <cfRule type="expression" dxfId="14" priority="13">
      <formula>ISNUMBER(SEARCH("DEFCON 4",L7))</formula>
    </cfRule>
    <cfRule type="expression" dxfId="13" priority="14">
      <formula>ISNUMBER(SEARCH("DEFCON 3",L7))</formula>
    </cfRule>
    <cfRule type="expression" dxfId="12" priority="15">
      <formula>ISNUMBER(SEARCH("DEFCON 2",L7))</formula>
    </cfRule>
    <cfRule type="expression" dxfId="11" priority="16">
      <formula>ISNUMBER(SEARCH("QS-OK",L7))</formula>
    </cfRule>
  </conditionalFormatting>
  <conditionalFormatting sqref="M7:M17">
    <cfRule type="cellIs" dxfId="10" priority="7" operator="lessThan">
      <formula>0</formula>
    </cfRule>
    <cfRule type="cellIs" dxfId="9" priority="8" operator="greaterThan">
      <formula>0</formula>
    </cfRule>
    <cfRule type="cellIs" dxfId="8" priority="9" operator="equal">
      <formula>0</formula>
    </cfRule>
  </conditionalFormatting>
  <conditionalFormatting sqref="N7:N17">
    <cfRule type="expression" dxfId="7" priority="2">
      <formula>ISNUMBER(SEARCH("FLAG",N7))</formula>
    </cfRule>
    <cfRule type="expression" dxfId="6" priority="3">
      <formula>ISNUMBER(SEARCH("DEFCON 3",N7))</formula>
    </cfRule>
    <cfRule type="expression" dxfId="5" priority="4">
      <formula>ISNUMBER(SEARCH("Halten",N7))</formula>
    </cfRule>
  </conditionalFormatting>
  <conditionalFormatting sqref="O7:O17">
    <cfRule type="cellIs" dxfId="4" priority="5" operator="equal">
      <formula>0</formula>
    </cfRule>
    <cfRule type="cellIs" dxfId="3" priority="6" operator="greaterThan">
      <formula>0</formula>
    </cfRule>
  </conditionalFormatting>
  <conditionalFormatting sqref="R7:R17">
    <cfRule type="cellIs" dxfId="2" priority="10" operator="lessThanOrEqual">
      <formula>30</formula>
    </cfRule>
    <cfRule type="cellIs" dxfId="1" priority="11" operator="between">
      <formula>31</formula>
      <formula>90</formula>
    </cfRule>
    <cfRule type="cellIs" dxfId="0" priority="12" operator="greaterThan">
      <formula>90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C0000"/>
  </sheetPr>
  <dimension ref="B1:I23"/>
  <sheetViews>
    <sheetView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30" sqref="F30"/>
    </sheetView>
  </sheetViews>
  <sheetFormatPr baseColWidth="10" defaultColWidth="9.140625" defaultRowHeight="15" x14ac:dyDescent="0.25"/>
  <cols>
    <col min="1" max="1" width="2" customWidth="1"/>
    <col min="2" max="2" width="7" customWidth="1"/>
    <col min="3" max="3" width="18" customWidth="1"/>
    <col min="4" max="6" width="13" customWidth="1"/>
    <col min="7" max="9" width="16" customWidth="1"/>
  </cols>
  <sheetData>
    <row r="1" spans="2:9" ht="6" customHeight="1" x14ac:dyDescent="0.25"/>
    <row r="2" spans="2:9" ht="27.75" customHeight="1" x14ac:dyDescent="0.25">
      <c r="B2" s="35" t="s">
        <v>158</v>
      </c>
      <c r="C2" s="28"/>
      <c r="D2" s="28"/>
      <c r="E2" s="28"/>
      <c r="F2" s="28"/>
      <c r="G2" s="28"/>
      <c r="H2" s="28"/>
      <c r="I2" s="28"/>
    </row>
    <row r="3" spans="2:9" ht="27" customHeight="1" x14ac:dyDescent="0.25">
      <c r="B3" s="27" t="s">
        <v>159</v>
      </c>
      <c r="C3" s="28"/>
      <c r="D3" s="28"/>
      <c r="E3" s="28"/>
      <c r="F3" s="28"/>
      <c r="G3" s="28"/>
      <c r="H3" s="28"/>
      <c r="I3" s="28"/>
    </row>
    <row r="4" spans="2:9" ht="6" customHeight="1" x14ac:dyDescent="0.25"/>
    <row r="5" spans="2:9" ht="30" customHeight="1" x14ac:dyDescent="0.25">
      <c r="B5" s="2" t="s">
        <v>7</v>
      </c>
      <c r="C5" s="2" t="s">
        <v>8</v>
      </c>
      <c r="D5" s="2" t="s">
        <v>160</v>
      </c>
      <c r="E5" s="2" t="s">
        <v>161</v>
      </c>
      <c r="F5" s="2" t="s">
        <v>162</v>
      </c>
      <c r="G5" s="2" t="s">
        <v>163</v>
      </c>
      <c r="H5" s="2" t="s">
        <v>164</v>
      </c>
      <c r="I5" s="2" t="s">
        <v>165</v>
      </c>
    </row>
    <row r="6" spans="2:9" ht="38.1" customHeight="1" x14ac:dyDescent="0.25">
      <c r="B6" s="3" t="s">
        <v>41</v>
      </c>
      <c r="C6" s="5" t="s">
        <v>166</v>
      </c>
      <c r="D6" s="19" t="s">
        <v>167</v>
      </c>
      <c r="E6" s="19" t="s">
        <v>168</v>
      </c>
      <c r="F6" s="19" t="s">
        <v>169</v>
      </c>
      <c r="G6" s="13" t="s">
        <v>170</v>
      </c>
      <c r="H6" s="13" t="s">
        <v>171</v>
      </c>
      <c r="I6" s="20" t="s">
        <v>172</v>
      </c>
    </row>
    <row r="7" spans="2:9" ht="38.1" customHeight="1" x14ac:dyDescent="0.25">
      <c r="B7" s="9" t="s">
        <v>66</v>
      </c>
      <c r="C7" s="11" t="s">
        <v>173</v>
      </c>
      <c r="D7" s="19" t="s">
        <v>174</v>
      </c>
      <c r="E7" s="19" t="s">
        <v>175</v>
      </c>
      <c r="F7" s="19" t="s">
        <v>169</v>
      </c>
      <c r="G7" s="13" t="s">
        <v>170</v>
      </c>
      <c r="H7" s="13" t="s">
        <v>171</v>
      </c>
      <c r="I7" s="21" t="s">
        <v>176</v>
      </c>
    </row>
    <row r="8" spans="2:9" ht="38.1" customHeight="1" x14ac:dyDescent="0.25">
      <c r="B8" s="3" t="s">
        <v>120</v>
      </c>
      <c r="C8" s="5" t="s">
        <v>177</v>
      </c>
      <c r="D8" s="19" t="s">
        <v>178</v>
      </c>
      <c r="E8" s="19" t="s">
        <v>179</v>
      </c>
      <c r="F8" s="19" t="s">
        <v>169</v>
      </c>
      <c r="G8" s="13" t="s">
        <v>170</v>
      </c>
      <c r="H8" s="13" t="s">
        <v>171</v>
      </c>
      <c r="I8" s="20" t="s">
        <v>180</v>
      </c>
    </row>
    <row r="9" spans="2:9" ht="38.1" customHeight="1" x14ac:dyDescent="0.25">
      <c r="B9" s="9" t="s">
        <v>103</v>
      </c>
      <c r="C9" s="11" t="s">
        <v>181</v>
      </c>
      <c r="D9" s="19" t="s">
        <v>182</v>
      </c>
      <c r="E9" s="22" t="s">
        <v>183</v>
      </c>
      <c r="F9" s="19" t="s">
        <v>169</v>
      </c>
      <c r="G9" s="13" t="s">
        <v>170</v>
      </c>
      <c r="H9" s="13" t="s">
        <v>171</v>
      </c>
      <c r="I9" s="21" t="s">
        <v>184</v>
      </c>
    </row>
    <row r="10" spans="2:9" ht="38.1" customHeight="1" x14ac:dyDescent="0.25">
      <c r="B10" s="3" t="s">
        <v>112</v>
      </c>
      <c r="C10" s="5" t="s">
        <v>185</v>
      </c>
      <c r="D10" s="19" t="s">
        <v>174</v>
      </c>
      <c r="E10" s="19" t="s">
        <v>174</v>
      </c>
      <c r="F10" s="19" t="s">
        <v>169</v>
      </c>
      <c r="G10" s="13" t="s">
        <v>170</v>
      </c>
      <c r="H10" s="13" t="s">
        <v>171</v>
      </c>
      <c r="I10" s="20" t="s">
        <v>186</v>
      </c>
    </row>
    <row r="11" spans="2:9" ht="38.1" customHeight="1" x14ac:dyDescent="0.25">
      <c r="B11" s="9" t="s">
        <v>138</v>
      </c>
      <c r="C11" s="11" t="s">
        <v>187</v>
      </c>
      <c r="D11" s="19" t="s">
        <v>188</v>
      </c>
      <c r="E11" s="19" t="s">
        <v>189</v>
      </c>
      <c r="F11" s="19" t="s">
        <v>169</v>
      </c>
      <c r="G11" s="13" t="s">
        <v>190</v>
      </c>
      <c r="H11" s="13" t="s">
        <v>191</v>
      </c>
      <c r="I11" s="21" t="s">
        <v>192</v>
      </c>
    </row>
    <row r="12" spans="2:9" ht="38.1" customHeight="1" x14ac:dyDescent="0.25">
      <c r="B12" s="3" t="s">
        <v>25</v>
      </c>
      <c r="C12" s="5" t="s">
        <v>193</v>
      </c>
      <c r="D12" s="22" t="s">
        <v>194</v>
      </c>
      <c r="E12" s="19" t="s">
        <v>195</v>
      </c>
      <c r="F12" s="19" t="s">
        <v>169</v>
      </c>
      <c r="G12" s="13" t="s">
        <v>170</v>
      </c>
      <c r="H12" s="7" t="s">
        <v>196</v>
      </c>
      <c r="I12" s="20" t="s">
        <v>197</v>
      </c>
    </row>
    <row r="13" spans="2:9" ht="38.1" customHeight="1" x14ac:dyDescent="0.25">
      <c r="B13" s="9" t="s">
        <v>80</v>
      </c>
      <c r="C13" s="11" t="s">
        <v>198</v>
      </c>
      <c r="D13" s="22" t="s">
        <v>199</v>
      </c>
      <c r="E13" s="19" t="s">
        <v>200</v>
      </c>
      <c r="F13" s="19" t="s">
        <v>169</v>
      </c>
      <c r="G13" s="13" t="s">
        <v>170</v>
      </c>
      <c r="H13" s="7" t="s">
        <v>171</v>
      </c>
      <c r="I13" s="21" t="s">
        <v>201</v>
      </c>
    </row>
    <row r="14" spans="2:9" ht="38.1" customHeight="1" x14ac:dyDescent="0.25">
      <c r="B14" s="3" t="s">
        <v>92</v>
      </c>
      <c r="C14" s="5" t="s">
        <v>93</v>
      </c>
      <c r="D14" s="22" t="s">
        <v>202</v>
      </c>
      <c r="E14" s="22" t="s">
        <v>203</v>
      </c>
      <c r="F14" s="19" t="s">
        <v>169</v>
      </c>
      <c r="G14" s="13" t="s">
        <v>170</v>
      </c>
      <c r="H14" s="7" t="s">
        <v>171</v>
      </c>
      <c r="I14" s="20" t="s">
        <v>204</v>
      </c>
    </row>
    <row r="15" spans="2:9" ht="38.1" customHeight="1" x14ac:dyDescent="0.25">
      <c r="B15" s="9" t="s">
        <v>54</v>
      </c>
      <c r="C15" s="11" t="s">
        <v>205</v>
      </c>
      <c r="D15" s="22" t="s">
        <v>206</v>
      </c>
      <c r="E15" s="19" t="s">
        <v>207</v>
      </c>
      <c r="F15" s="19" t="s">
        <v>169</v>
      </c>
      <c r="G15" s="14" t="s">
        <v>208</v>
      </c>
      <c r="H15" s="14" t="s">
        <v>209</v>
      </c>
      <c r="I15" s="21" t="s">
        <v>210</v>
      </c>
    </row>
    <row r="16" spans="2:9" ht="38.1" customHeight="1" x14ac:dyDescent="0.25">
      <c r="B16" s="3" t="s">
        <v>128</v>
      </c>
      <c r="C16" s="5" t="s">
        <v>211</v>
      </c>
      <c r="D16" s="19" t="s">
        <v>212</v>
      </c>
      <c r="E16" s="23" t="s">
        <v>213</v>
      </c>
      <c r="F16" s="19" t="s">
        <v>169</v>
      </c>
      <c r="G16" s="13" t="s">
        <v>170</v>
      </c>
      <c r="H16" s="14" t="s">
        <v>214</v>
      </c>
      <c r="I16" s="20" t="s">
        <v>215</v>
      </c>
    </row>
    <row r="19" spans="2:9" ht="15.75" customHeight="1" x14ac:dyDescent="0.25">
      <c r="B19" s="36" t="s">
        <v>216</v>
      </c>
      <c r="C19" s="25"/>
      <c r="D19" s="25"/>
      <c r="E19" s="25"/>
      <c r="F19" s="25"/>
      <c r="G19" s="25"/>
      <c r="H19" s="25"/>
      <c r="I19" s="26"/>
    </row>
    <row r="20" spans="2:9" ht="13.5" customHeight="1" x14ac:dyDescent="0.25">
      <c r="B20" s="24" t="s">
        <v>217</v>
      </c>
      <c r="C20" s="25"/>
      <c r="D20" s="25"/>
      <c r="E20" s="25"/>
      <c r="F20" s="25"/>
      <c r="G20" s="25"/>
      <c r="H20" s="25"/>
      <c r="I20" s="26"/>
    </row>
    <row r="21" spans="2:9" ht="13.5" customHeight="1" x14ac:dyDescent="0.25">
      <c r="B21" s="24" t="s">
        <v>218</v>
      </c>
      <c r="C21" s="25"/>
      <c r="D21" s="25"/>
      <c r="E21" s="25"/>
      <c r="F21" s="25"/>
      <c r="G21" s="25"/>
      <c r="H21" s="25"/>
      <c r="I21" s="26"/>
    </row>
    <row r="22" spans="2:9" ht="13.5" customHeight="1" x14ac:dyDescent="0.25">
      <c r="B22" s="24" t="s">
        <v>219</v>
      </c>
      <c r="C22" s="25"/>
      <c r="D22" s="25"/>
      <c r="E22" s="25"/>
      <c r="F22" s="25"/>
      <c r="G22" s="25"/>
      <c r="H22" s="25"/>
      <c r="I22" s="26"/>
    </row>
    <row r="23" spans="2:9" ht="13.5" customHeight="1" x14ac:dyDescent="0.25">
      <c r="B23" s="24" t="s">
        <v>220</v>
      </c>
      <c r="C23" s="25"/>
      <c r="D23" s="25"/>
      <c r="E23" s="25"/>
      <c r="F23" s="25"/>
      <c r="G23" s="25"/>
      <c r="H23" s="25"/>
      <c r="I23" s="26"/>
    </row>
  </sheetData>
  <mergeCells count="7">
    <mergeCell ref="B23:I23"/>
    <mergeCell ref="B21:I21"/>
    <mergeCell ref="B2:I2"/>
    <mergeCell ref="B20:I20"/>
    <mergeCell ref="B3:I3"/>
    <mergeCell ref="B22:I22"/>
    <mergeCell ref="B19:I1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Satelliten Monitor</vt:lpstr>
      <vt:lpstr>QuickScreen Ampel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Tobias Kowalski</cp:lastModifiedBy>
  <cp:revision>0</cp:revision>
  <dcterms:created xsi:type="dcterms:W3CDTF">2026-04-02T15:20:51Z</dcterms:created>
  <dcterms:modified xsi:type="dcterms:W3CDTF">2026-04-15T10:06:25Z</dcterms:modified>
  <dc:language>en-US</dc:language>
</cp:coreProperties>
</file>