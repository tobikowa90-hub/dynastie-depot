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CEFC048F-1DB8-4ACC-B6A7-E81746AD30E0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</calcChain>
</file>

<file path=xl/sharedStrings.xml><?xml version="1.0" encoding="utf-8"?>
<sst xmlns="http://schemas.openxmlformats.org/spreadsheetml/2006/main" count="313" uniqueCount="232">
  <si>
    <t>🦅  DYNASTIEDEPOT – QUICKSCREEN AMPEL  |  18.04.2026 (v3.7 + Schema-Alignment)</t>
  </si>
  <si>
    <t>Filter: P/FCF ≤35x 🟢 / ≤45x 🟡 / &gt;45x 🔴  |  ROIC ≥15% 🟢 / ≥12% 🟡 / &lt;12% 🔴  |  Moat Wide 🟢 / Narrow 🟡 / None 🔴  |  FLAG überschreibt immer → 🔴</t>
  </si>
  <si>
    <t>Ticker</t>
  </si>
  <si>
    <t>Name</t>
  </si>
  <si>
    <t>P/FCF Filter</t>
  </si>
  <si>
    <t>ROIC Filter</t>
  </si>
  <si>
    <t>Moat Filter</t>
  </si>
  <si>
    <t>FLAG</t>
  </si>
  <si>
    <t>Gesamt-Ampel</t>
  </si>
  <si>
    <t>Nächster Schritt</t>
  </si>
  <si>
    <t>AVGO</t>
  </si>
  <si>
    <t>Broadcom</t>
  </si>
  <si>
    <t>🟢 ~22x</t>
  </si>
  <si>
    <t>🟢 ~65%</t>
  </si>
  <si>
    <t>🟢 Wide</t>
  </si>
  <si>
    <t>✅</t>
  </si>
  <si>
    <t>🟢 HALTEN</t>
  </si>
  <si>
    <t>Sparplan aktiv. Kalibrierungsanker.</t>
  </si>
  <si>
    <t>COST</t>
  </si>
  <si>
    <t>Costco</t>
  </si>
  <si>
    <t>🟢 Exception</t>
  </si>
  <si>
    <t>🟢 ~30%</t>
  </si>
  <si>
    <t>Exception. Membership-Moat ✅. D4→D3 Schema-Alignment 18.04. Volle Rate 35,63€.</t>
  </si>
  <si>
    <t>V</t>
  </si>
  <si>
    <t>Visa</t>
  </si>
  <si>
    <t>🟢 ~28–32x</t>
  </si>
  <si>
    <t>🟢 ~45%</t>
  </si>
  <si>
    <t>🟠 DEFCON 2 / ⏸ Sockelbetrag</t>
  </si>
  <si>
    <t>Score 63 (Forward 18.04., -23 vs Backfill). Technicals-Kollaps + ROIC GAAP &lt; WACC. Sockelbetrag 17,81€. Q2 28.04.</t>
  </si>
  <si>
    <t>SU</t>
  </si>
  <si>
    <t>Schneider Elec.</t>
  </si>
  <si>
    <t>🟢 ~20–25x</t>
  </si>
  <si>
    <t>🟡 ~12%</t>
  </si>
  <si>
    <t>ROIC Grenzfall. D4→D3 Schema-Alignment 18.04. Volle Rate 35,63€.</t>
  </si>
  <si>
    <t>BRK.B</t>
  </si>
  <si>
    <t>Berkshire B</t>
  </si>
  <si>
    <t>Exception. P/B ~1,5–1,6x ✅. D4→D3 Schema-Alignment 18.04. Volle Rate 35,63€.</t>
  </si>
  <si>
    <t>APH</t>
  </si>
  <si>
    <t>Amphenol</t>
  </si>
  <si>
    <t>🟢 ~25–30x</t>
  </si>
  <si>
    <t>🟢 ~22%</t>
  </si>
  <si>
    <t>🔴 FLAG (Score)</t>
  </si>
  <si>
    <t>🔴 FLAG / ⏸ EINGEFROREN</t>
  </si>
  <si>
    <t>Score 63 (DEFCON 2 seit 18.04. Schema-Alignment). FLAG aktiv (Score-basiert). Tariff-Check CN 14.7% Risk-Map. Sparrate 0€.</t>
  </si>
  <si>
    <t>ASML</t>
  </si>
  <si>
    <t>ASML Holding</t>
  </si>
  <si>
    <t>🟡 ~42–50x</t>
  </si>
  <si>
    <t>🟢 ~35%</t>
  </si>
  <si>
    <t>🟡 PRÜFEN</t>
  </si>
  <si>
    <t>DEFCON 3 (68, v3.7 +2). Moat 19/20 Wide. v3.7 Fix-1: Fwd P/E + P/FCF Subscore-Deckel. Volle Rate 33,53€.</t>
  </si>
  <si>
    <t>RMS</t>
  </si>
  <si>
    <t>Hermès</t>
  </si>
  <si>
    <t>🟡 ~38x</t>
  </si>
  <si>
    <t>🟢 ~40%</t>
  </si>
  <si>
    <t>v3.7: Score 68 (D4→D3 Schema-Alignment 18.04.). Screener-Exception ROIC 24% &gt;&gt; WACC. Volle Rate 35,63€.</t>
  </si>
  <si>
    <t>VEEV</t>
  </si>
  <si>
    <t>Veeva Systems</t>
  </si>
  <si>
    <t>🟡 ~45x</t>
  </si>
  <si>
    <t>🟡 ~18%</t>
  </si>
  <si>
    <t>v3.7: Score 74 (D4→D3 Schema-Alignment 18.04.). SaaS Wide Moat. Volle Rate 35,63€.</t>
  </si>
  <si>
    <t>MSFT</t>
  </si>
  <si>
    <t>Microsoft</t>
  </si>
  <si>
    <t>🟡 ~35–38x</t>
  </si>
  <si>
    <t>🔴 ~7.5%</t>
  </si>
  <si>
    <t>🔴 FLAG</t>
  </si>
  <si>
    <t>🔴 FLAG / DEFCON 2 / ⏸ EINFRIEREN</t>
  </si>
  <si>
    <t>Score 59 (↓1 v3.7). DEFCON 2. FLAG CapEx/OCF &gt;60% (bereinigt ~63%). ROIC 7.5% &lt; WACC. Re-Check 29.04.</t>
  </si>
  <si>
    <t>TMO</t>
  </si>
  <si>
    <t>Thermo Fisher</t>
  </si>
  <si>
    <t>🟢 ~28x</t>
  </si>
  <si>
    <t>🔴 ~9%</t>
  </si>
  <si>
    <t>🟠 DEFCON 2 / ⏸ D2-SOCKELBETRAG</t>
  </si>
  <si>
    <t>Score 64 (Forward 18.04., Algebra +1). ROIC bereinigt 17,2% (Regel-4). fcf_trend_neg struktureller Disclosure (Option B, WC-Noise). Sockelbetrag 17,81€. Q1 23.04.</t>
  </si>
  <si>
    <t>LEGENDE</t>
  </si>
  <si>
    <t>🟢 HALTEN: Alle 3 Filter grün + kein FLAG → Sparplan aktiv</t>
  </si>
  <si>
    <t>🟡 PRÜFEN: Mind. 1 Filter gelb + kein FLAG → Halten, erhöhtes Monitoring</t>
  </si>
  <si>
    <t>🔴 EINGEFROREN: FLAG aktiv (MSFT, APH) → Sparrate = 0€, Re-Analyse Pflicht</t>
  </si>
  <si>
    <t>Exception-Logik: COST (GM strukturell ~13%), BRK.B (P/B statt P/FCF) → zählen als grün | Stand: 17.04.2026</t>
  </si>
  <si>
    <t>🦅  DYNASTIEDEPOT – SATELLITEN MONITOR v2.0</t>
  </si>
  <si>
    <t>Stand: 18.04.2026  |  Broker: Scalable Capital  |  Slots: 11/11</t>
  </si>
  <si>
    <t>Sparrate Satelliten: 285 €/Monat  |  D4/D3-Rate: 35,63€  |  D2-Sockelbetrag: 17,81€ (50%)  |  Nenner 8.0 (v3.7 + Schema-SKILL-Threshold-Alignment 18.04.)</t>
  </si>
  <si>
    <t>Vollanalysiert: 11 / 11 ✅  |  Geschätzt: 0 / 11</t>
  </si>
  <si>
    <t>Eingefroren: MSFT (🔴 FLAG CapEx/OCF, D2) | APH (🔴 FLAG Score-basiert, D2 seit 18.04.) — Sparrate 0€</t>
  </si>
  <si>
    <t>Ergebnis: 🟢 7 Voll  🟠 2 D2-Sockelbetrag (V, TMO)  🔴 2 Eingefroren (MSFT, APH)</t>
  </si>
  <si>
    <t>Quellen: Vollanalyse [V] | Kalibrierungsanalyse [KB] | Schätzung [~] | Tariff-Check [TC]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</si>
  <si>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</si>
  <si>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</si>
  <si>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</si>
  <si>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</si>
  <si>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</si>
  <si>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</si>
  <si>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</si>
  <si>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</si>
  <si>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</si>
  <si>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</si>
  <si>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</si>
  <si>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</si>
  <si>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</si>
  <si>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</si>
  <si>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</si>
  <si>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</si>
  <si>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 Holding NV</t>
  </si>
  <si>
    <t>Halbleiter-Equip</t>
  </si>
  <si>
    <t>48x [V 17.04.]</t>
  </si>
  <si>
    <t>26.48% TTM [V 17.04.]</t>
  </si>
  <si>
    <t>52.8% [V 17.04.]</t>
  </si>
  <si>
    <t>~16% [~]</t>
  </si>
  <si>
    <t>9 / Wide</t>
  </si>
  <si>
    <t>n.a.</t>
  </si>
  <si>
    <t>Nein</t>
  </si>
  <si>
    <t>68 / DEFCON 3</t>
  </si>
  <si>
    <t>+2 v3.5-&gt;v3.7</t>
  </si>
  <si>
    <t>🟡 DEFCON 3 / ✅ Volle Rate 33,53€ (D3=1.0 seit v3.4)</t>
  </si>
  <si>
    <t>Q1 2026 Earnings 15.04.</t>
  </si>
  <si>
    <t>17.04.2026</t>
  </si>
  <si>
    <t>[V 17.04.] Score 68. OpM 36,1%, Fwd P/E 39,52 + P/FCF 48x -&gt; QT-Fix-1 beide hart 0. ROIC 26,48% TTM. WATCH: Fwd P/E FY27 30,30 Grenzfall — bei &lt;30 Score +1-2 (D4-Upside).</t>
  </si>
  <si>
    <t>Broadcom Inc.</t>
  </si>
  <si>
    <t>Halbleiter/SW</t>
  </si>
  <si>
    <t>~22x [KB]</t>
  </si>
  <si>
    <t>&gt;20% [KB]</t>
  </si>
  <si>
    <t>~65% [KB]</t>
  </si>
  <si>
    <t>~21% [KB]</t>
  </si>
  <si>
    <t>Wide [KB]</t>
  </si>
  <si>
    <t>84 / DEFCON 4</t>
  </si>
  <si>
    <t>-2 v3.5-&gt;v3.7</t>
  </si>
  <si>
    <t>⚠️ Insider-Check ausstehend (verm. Post-Vesting) | Sparplan läuft</t>
  </si>
  <si>
    <t>Q3 FY26 Earnings Jun 2026</t>
  </si>
  <si>
    <t>[KB] Kalibrierungsanker 86-&gt;84 (v3.7 Algebra). Fabless CapEx/OCF &lt;15%. AI-Backlog. Insider $123M unter Review — OpenInsider-Check vor FLAG-Aktivierung.</t>
  </si>
  <si>
    <t>Microsoft Corp.</t>
  </si>
  <si>
    <t>Software/Cloud</t>
  </si>
  <si>
    <t>~38x [~]</t>
  </si>
  <si>
    <t>7.5% [V]</t>
  </si>
  <si>
    <t>~69% [~]</t>
  </si>
  <si>
    <t>~13% [~]</t>
  </si>
  <si>
    <t>59 / DEFCON 2</t>
  </si>
  <si>
    <t>-1 v3.5-&gt;v3.7</t>
  </si>
  <si>
    <t>🔴 FLAG: CapEx/OCF &gt;60% | DEFCON 2 (59) | ⏸ Einfrieren</t>
  </si>
  <si>
    <t>29.04.2026 Q3 FY26 Earnings</t>
  </si>
  <si>
    <t>[V] Re-Analyse 08.04.: 77-&gt;60 (-17). CapEx/OCF Q2 FY26 83,6% (bereinigt ~63%). ROIC 7,5% &lt; WACC 13,35%. FLAG aktiv. Re-Check 29.04. Q3 FY26 — bereinigtes CapEx/OCF &lt;60% = FLAG-Auflösung möglich.</t>
  </si>
  <si>
    <t>Costco Wholesale</t>
  </si>
  <si>
    <t>Einzelhandel</t>
  </si>
  <si>
    <t>~53x [~]</t>
  </si>
  <si>
    <t>5.6% GAAP (MY 15.2%)</t>
  </si>
  <si>
    <t>12.7%</t>
  </si>
  <si>
    <t>~10% [~]</t>
  </si>
  <si>
    <t>8 / Wide</t>
  </si>
  <si>
    <t>Exception (GM)</t>
  </si>
  <si>
    <t>Ja</t>
  </si>
  <si>
    <t>69 / DEFCON 3</t>
  </si>
  <si>
    <t>0 v3.5-&gt;v3.7</t>
  </si>
  <si>
    <t>🟢 Halten | D4→D3 Schema-Alignment 18.04. | Screener-Exception Membership Yield 15.2% &gt; WACC</t>
  </si>
  <si>
    <t>28.05.2026</t>
  </si>
  <si>
    <t>[~] Exception: GM 12,7% strukturell (Membership-Fee). Membership-Yield 15,2% &gt; WACC 12,3% als ökonomischer Return. D4-&gt;D3 Label-Fix 18.04. Volle Rate 35,63€.</t>
  </si>
  <si>
    <t>Hermès Intl. (EUR)</t>
  </si>
  <si>
    <t>Luxus</t>
  </si>
  <si>
    <t>38x [V]</t>
  </si>
  <si>
    <t>24.2% TTM [V]</t>
  </si>
  <si>
    <t>71% [V]</t>
  </si>
  <si>
    <t>Wide [V]</t>
  </si>
  <si>
    <t>🟢 Halten | D4→D3 Schema-Alignment 18.04. | Screener-Exception ROIC 24% &gt;&gt; WACC</t>
  </si>
  <si>
    <t>H1 2026 Report Juli/Aug 2026</t>
  </si>
  <si>
    <t>[V] Re-Analyse 15.04.: 71-&gt;68 (Q1 Miss -8,4% Mittlerer Osten). ROIC 24% &gt;&gt; WACC 6,5% = Screener-Exception #3. Netto-Cash +9,89B EUR. D4-&gt;D3 Label-Fix 18.04. Volle Rate 35,63€.</t>
  </si>
  <si>
    <t>Healthcare-SW</t>
  </si>
  <si>
    <t>~45x [V]</t>
  </si>
  <si>
    <t>~25% [V]</t>
  </si>
  <si>
    <t>~74% [V]</t>
  </si>
  <si>
    <t>~17% [~]</t>
  </si>
  <si>
    <t>74 / DEFCON 3</t>
  </si>
  <si>
    <t>🟢 Halten | D4→D3 Schema-Alignment 18.04.</t>
  </si>
  <si>
    <t>21.05.2026 Q1 FY27</t>
  </si>
  <si>
    <t>[V] Score 74 stabil. Asset-light SaaS. Moat Wide (Switching Costs Life-Science). CapEx/OCF &lt;10%. D4-&gt;D3 Label-Fix 18.04. Volle Rate 35,63€.</t>
  </si>
  <si>
    <t>Schneider Electric (EUR)</t>
  </si>
  <si>
    <t>Industrials</t>
  </si>
  <si>
    <t>10.48% TTM</t>
  </si>
  <si>
    <t>~42% [~]</t>
  </si>
  <si>
    <t>~11% [~]</t>
  </si>
  <si>
    <t>Narrow/Wide</t>
  </si>
  <si>
    <t>🟢 Halten | D4→D3 Schema-Alignment 18.04. | v3.7 Fix-3 Sell-Ratio</t>
  </si>
  <si>
    <t>07.05.2026</t>
  </si>
  <si>
    <t>[~] EUR-denominiert. ROIC 10,48% &gt; WACC 8,96%. Non-US IFRS. FCF-Wachstum +41% 3J. Schwächen: P/FCF 37,7x, Goodwill 40,2% (AVEVA). D4-&gt;D3 Label-Fix 18.04. Volle Rate 35,63€.</t>
  </si>
  <si>
    <t>Berkshire Hathaway B</t>
  </si>
  <si>
    <t>Holding/Vers.</t>
  </si>
  <si>
    <t>Exception (P/B 1.44x)</t>
  </si>
  <si>
    <t>5.6-7.8% GAAP [Float]</t>
  </si>
  <si>
    <t>n.a. (Holding)</t>
  </si>
  <si>
    <t>~8% [~]</t>
  </si>
  <si>
    <t>~1,5-1,6x P/B</t>
  </si>
  <si>
    <t>75 / DEFCON 3</t>
  </si>
  <si>
    <t>🟢 Halten | D4→D3 Schema-Alignment 18.04. | Insurance Exception (P/B 1.44x)</t>
  </si>
  <si>
    <t>30.06.2026</t>
  </si>
  <si>
    <t>[~] Insurance Exception: P/B 1,44x. Float $686B, BNSF, 60J Track-Record. Insider: Abel $15,3M Open-Market. CapEx/OCF 45,6% (BNSF+BHE, kein FLAG). D4-&gt;D3 Label-Fix 18.04. Volle Rate 35,63€.</t>
  </si>
  <si>
    <t>Visa Inc.</t>
  </si>
  <si>
    <t>Payments</t>
  </si>
  <si>
    <t>28.32x [V 18.04.]</t>
  </si>
  <si>
    <t>9.89% GAAP &lt; WACC 10.48%</t>
  </si>
  <si>
    <t>80.4% [V 18.04.]</t>
  </si>
  <si>
    <t>~12% [~]</t>
  </si>
  <si>
    <t>63 / DEFCON 2</t>
  </si>
  <si>
    <t>-23 Backfill-&gt;Forward</t>
  </si>
  <si>
    <t>🟠 DEFCON 2 / ⏸ Sockelbetrag 17,81€ | Forward 18.04. nach Advisor-Review (86→72→63)</t>
  </si>
  <si>
    <t>22.07.2026</t>
  </si>
  <si>
    <t>18.04.2026</t>
  </si>
  <si>
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</si>
  <si>
    <t>Thermo Fisher Sci.</t>
  </si>
  <si>
    <t>Life Sciences</t>
  </si>
  <si>
    <t>31.10x [V 18.04.]</t>
  </si>
  <si>
    <t>17.18% bereinigt (Regel-4)</t>
  </si>
  <si>
    <t>40.9% [V 18.04.]</t>
  </si>
  <si>
    <t>~4% [~]</t>
  </si>
  <si>
    <t>64 / DEFCON 2</t>
  </si>
  <si>
    <t>+1 Backfill-&gt;Forward</t>
  </si>
  <si>
    <t>🟠 DEFCON 2 / ⏸ Sockelbetrag 17,81€ | fcf_trend_neg Disclosure (Option B)</t>
  </si>
  <si>
    <t>23.04.2026 Q1 Earnings</t>
  </si>
  <si>
    <t>[V 18.04.] Forward-Vollanalyse: Score 64 (Algebra 63 empirisch +/-1). ROIC bereinigt 17,18% vs WACC 10,44% = +6,74pp (Regel-4-Gating greift: GW/Assets 44,74% &gt;=30%, IC bereinigt 43,430M). fcf_trend_neg schema-getriggert (FY25 FCF -13,4% YoY, CapEx +8,9%) aber NICHT aktiviert per Advisor (Option B): WC-Delta -1,766M &gt; FCF-Delta -974M = WC-Noise; 4J-Plateau 6,9-&gt;6,9-&gt;7,3-&gt;6,3B; OpInc +5,1%. Q1 23.04. = Resolve-Gate.</t>
  </si>
  <si>
    <t>Amphenol Corp.</t>
  </si>
  <si>
    <t>Steckverbinder</t>
  </si>
  <si>
    <t>~28x [~]</t>
  </si>
  <si>
    <t>~22% [~]</t>
  </si>
  <si>
    <t>~32% [V]</t>
  </si>
  <si>
    <t>~18% [~]</t>
  </si>
  <si>
    <t>🔴 FLAG: Score 63 (DEFCON 2 seit 18.04.) | CN Revenue 14.7% Risk-Map [TC] | Sparrate 0€</t>
  </si>
  <si>
    <t>Q2 2025 Earnings 23.07.2025</t>
  </si>
  <si>
    <t>[V+TC] DEFCON 2 seit 18.04. Schema-Alignment. FLAG aktiv (Score-basiert 63 + D2). Tariff-Check 15.04.: China Rev 14,7% &lt; 15%-Schwelle -&gt; kein Revenue-FLAG. Supply-Chain CN/MY Risk-Map aktiv. Sparrate 0€.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</si>
  <si>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</si>
  <si>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</si>
  <si>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</si>
  <si>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</si>
  <si>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</si>
  <si>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</si>
  <si>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</si>
  <si>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🔴 EINGEFROREN: MSFT (FLAG CapEx/OCF, D2, Score 59) | APH (FLAG Score-basiert, D2 seit 18.04., Score 63) — Sparrate 0€</t>
  </si>
  <si>
    <t>🟢 Volle Rate 35,63€ (7 Positionen): ASML/COST/RMS/VEEV/SU/BRK.B D3, AVGO D4  |  🟠 D2-Sockelbetrag 17,81€ (2): V, TMO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</si>
</sst>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yyyy\-mm\-dd\ h:mm:ss"/>
  </numFmts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sz val="8"/>
      <color rgb="FF444444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4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 indent="1"/>
    </xf>
    <xf numFmtId="164" fontId="4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5" fontId="5" fillId="5" borderId="1" xfId="0" applyNumberFormat="1" applyFont="1" applyFill="1" applyBorder="1" applyAlignment="1">
      <alignment horizontal="center" vertical="center" wrapText="1"/>
    </xf>
    <xf numFmtId="165" fontId="5" fillId="8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2" fillId="2" borderId="0" xfId="0" applyFont="1" applyFill="1" applyAlignment="1">
      <alignment horizontal="right" vertical="center" indent="1"/>
    </xf>
    <xf numFmtId="0" fontId="9" fillId="3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right" vertical="center"/>
    </xf>
  </cellXfs>
  <cellStyles count="1">
    <cellStyle name="Standard" xfId="0" builtinId="0"/>
  </cellStyles>
  <dxfs count="19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5"/>
  <sheetViews>
    <sheetView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7" t="s">
        <v>78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3" t="s">
        <v>79</v>
      </c>
      <c r="P2" s="30"/>
      <c r="Q2" s="30"/>
      <c r="R2" s="30"/>
      <c r="S2" s="30"/>
    </row>
    <row r="3" spans="2:19" ht="27.75" customHeight="1" x14ac:dyDescent="0.25">
      <c r="B3" s="31" t="s">
        <v>80</v>
      </c>
      <c r="C3" s="30"/>
      <c r="D3" s="30"/>
      <c r="E3" s="35" t="s">
        <v>81</v>
      </c>
      <c r="F3" s="30"/>
      <c r="G3" s="30"/>
      <c r="H3" s="35" t="s">
        <v>82</v>
      </c>
      <c r="I3" s="30"/>
      <c r="J3" s="30"/>
      <c r="K3" s="35" t="s">
        <v>83</v>
      </c>
      <c r="L3" s="30"/>
      <c r="M3" s="30"/>
      <c r="N3" s="36" t="s">
        <v>84</v>
      </c>
      <c r="O3" s="30"/>
      <c r="P3" s="30"/>
      <c r="Q3" s="30"/>
      <c r="R3" s="30"/>
      <c r="S3" s="30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2</v>
      </c>
      <c r="C5" s="2" t="s">
        <v>3</v>
      </c>
      <c r="D5" s="2" t="s">
        <v>85</v>
      </c>
      <c r="E5" s="2" t="s">
        <v>86</v>
      </c>
      <c r="F5" s="2" t="s">
        <v>87</v>
      </c>
      <c r="G5" s="2" t="s">
        <v>88</v>
      </c>
      <c r="H5" s="2" t="s">
        <v>89</v>
      </c>
      <c r="I5" s="2" t="s">
        <v>90</v>
      </c>
      <c r="J5" s="2" t="s">
        <v>91</v>
      </c>
      <c r="K5" s="2" t="s">
        <v>92</v>
      </c>
      <c r="L5" s="2" t="s">
        <v>93</v>
      </c>
      <c r="M5" s="2" t="s">
        <v>94</v>
      </c>
      <c r="N5" s="2" t="s">
        <v>95</v>
      </c>
      <c r="O5" s="2" t="s">
        <v>96</v>
      </c>
      <c r="P5" s="2" t="s">
        <v>97</v>
      </c>
      <c r="Q5" s="2" t="s">
        <v>98</v>
      </c>
      <c r="R5" s="2" t="s">
        <v>99</v>
      </c>
      <c r="S5" s="2" t="s">
        <v>100</v>
      </c>
    </row>
    <row r="6" spans="2:19" ht="3.75" customHeight="1" x14ac:dyDescent="0.25"/>
    <row r="7" spans="2:19" ht="141.94999999999999" customHeight="1" x14ac:dyDescent="0.25">
      <c r="B7" s="3" t="s">
        <v>44</v>
      </c>
      <c r="C7" s="4" t="s">
        <v>101</v>
      </c>
      <c r="D7" s="5" t="s">
        <v>102</v>
      </c>
      <c r="E7" s="6" t="s">
        <v>103</v>
      </c>
      <c r="F7" s="6" t="s">
        <v>104</v>
      </c>
      <c r="G7" s="6" t="s">
        <v>105</v>
      </c>
      <c r="H7" s="6" t="s">
        <v>106</v>
      </c>
      <c r="I7" s="5" t="s">
        <v>107</v>
      </c>
      <c r="J7" s="5" t="s">
        <v>108</v>
      </c>
      <c r="K7" s="5" t="s">
        <v>109</v>
      </c>
      <c r="L7" s="5" t="s">
        <v>110</v>
      </c>
      <c r="M7" s="5" t="s">
        <v>111</v>
      </c>
      <c r="N7" s="7" t="s">
        <v>112</v>
      </c>
      <c r="O7" s="8">
        <v>35.630000000000003</v>
      </c>
      <c r="P7" s="5" t="s">
        <v>113</v>
      </c>
      <c r="Q7" s="24" t="s">
        <v>114</v>
      </c>
      <c r="R7" s="5">
        <v>0</v>
      </c>
      <c r="S7" s="4" t="s">
        <v>115</v>
      </c>
    </row>
    <row r="8" spans="2:19" ht="141.94999999999999" customHeight="1" x14ac:dyDescent="0.25">
      <c r="B8" s="9" t="s">
        <v>10</v>
      </c>
      <c r="C8" s="10" t="s">
        <v>116</v>
      </c>
      <c r="D8" s="11" t="s">
        <v>117</v>
      </c>
      <c r="E8" s="12" t="s">
        <v>118</v>
      </c>
      <c r="F8" s="12" t="s">
        <v>119</v>
      </c>
      <c r="G8" s="12" t="s">
        <v>120</v>
      </c>
      <c r="H8" s="12" t="s">
        <v>121</v>
      </c>
      <c r="I8" s="11" t="s">
        <v>122</v>
      </c>
      <c r="J8" s="11" t="s">
        <v>108</v>
      </c>
      <c r="K8" s="11" t="s">
        <v>109</v>
      </c>
      <c r="L8" s="11" t="s">
        <v>123</v>
      </c>
      <c r="M8" s="11" t="s">
        <v>124</v>
      </c>
      <c r="N8" s="13" t="s">
        <v>125</v>
      </c>
      <c r="O8" s="8">
        <v>35.630000000000003</v>
      </c>
      <c r="P8" s="11" t="s">
        <v>126</v>
      </c>
      <c r="Q8" s="25" t="s">
        <v>114</v>
      </c>
      <c r="R8" s="11">
        <v>0</v>
      </c>
      <c r="S8" s="10" t="s">
        <v>127</v>
      </c>
    </row>
    <row r="9" spans="2:19" ht="141.94999999999999" customHeight="1" x14ac:dyDescent="0.25">
      <c r="B9" s="3" t="s">
        <v>60</v>
      </c>
      <c r="C9" s="4" t="s">
        <v>128</v>
      </c>
      <c r="D9" s="5" t="s">
        <v>129</v>
      </c>
      <c r="E9" s="6" t="s">
        <v>130</v>
      </c>
      <c r="F9" s="6" t="s">
        <v>131</v>
      </c>
      <c r="G9" s="6" t="s">
        <v>132</v>
      </c>
      <c r="H9" s="6" t="s">
        <v>133</v>
      </c>
      <c r="I9" s="5" t="s">
        <v>107</v>
      </c>
      <c r="J9" s="5" t="s">
        <v>108</v>
      </c>
      <c r="K9" s="5" t="s">
        <v>109</v>
      </c>
      <c r="L9" s="5" t="s">
        <v>134</v>
      </c>
      <c r="M9" s="5" t="s">
        <v>135</v>
      </c>
      <c r="N9" s="14" t="s">
        <v>136</v>
      </c>
      <c r="O9" s="15">
        <v>0</v>
      </c>
      <c r="P9" s="5" t="s">
        <v>137</v>
      </c>
      <c r="Q9" s="24" t="s">
        <v>114</v>
      </c>
      <c r="R9" s="5">
        <v>0</v>
      </c>
      <c r="S9" s="4" t="s">
        <v>138</v>
      </c>
    </row>
    <row r="10" spans="2:19" ht="141.94999999999999" customHeight="1" x14ac:dyDescent="0.25">
      <c r="B10" s="9" t="s">
        <v>18</v>
      </c>
      <c r="C10" s="10" t="s">
        <v>139</v>
      </c>
      <c r="D10" s="11" t="s">
        <v>140</v>
      </c>
      <c r="E10" s="12" t="s">
        <v>141</v>
      </c>
      <c r="F10" s="12" t="s">
        <v>142</v>
      </c>
      <c r="G10" s="12" t="s">
        <v>143</v>
      </c>
      <c r="H10" s="12" t="s">
        <v>144</v>
      </c>
      <c r="I10" s="11" t="s">
        <v>145</v>
      </c>
      <c r="J10" s="11" t="s">
        <v>146</v>
      </c>
      <c r="K10" s="11" t="s">
        <v>147</v>
      </c>
      <c r="L10" s="11" t="s">
        <v>148</v>
      </c>
      <c r="M10" s="11" t="s">
        <v>149</v>
      </c>
      <c r="N10" s="13" t="s">
        <v>150</v>
      </c>
      <c r="O10" s="8">
        <v>35.630000000000003</v>
      </c>
      <c r="P10" s="11" t="s">
        <v>151</v>
      </c>
      <c r="Q10" s="25" t="s">
        <v>114</v>
      </c>
      <c r="R10" s="11">
        <v>0</v>
      </c>
      <c r="S10" s="10" t="s">
        <v>152</v>
      </c>
    </row>
    <row r="11" spans="2:19" ht="141.75" customHeight="1" x14ac:dyDescent="0.25">
      <c r="B11" s="3" t="s">
        <v>50</v>
      </c>
      <c r="C11" s="4" t="s">
        <v>153</v>
      </c>
      <c r="D11" s="5" t="s">
        <v>154</v>
      </c>
      <c r="E11" s="6" t="s">
        <v>155</v>
      </c>
      <c r="F11" s="6" t="s">
        <v>156</v>
      </c>
      <c r="G11" s="6" t="s">
        <v>157</v>
      </c>
      <c r="H11" s="6" t="s">
        <v>133</v>
      </c>
      <c r="I11" s="5" t="s">
        <v>158</v>
      </c>
      <c r="J11" s="5" t="s">
        <v>108</v>
      </c>
      <c r="K11" s="5" t="s">
        <v>109</v>
      </c>
      <c r="L11" s="5" t="s">
        <v>110</v>
      </c>
      <c r="M11" s="5" t="s">
        <v>135</v>
      </c>
      <c r="N11" s="7" t="s">
        <v>159</v>
      </c>
      <c r="O11" s="8">
        <v>35.630000000000003</v>
      </c>
      <c r="P11" s="5" t="s">
        <v>160</v>
      </c>
      <c r="Q11" s="24" t="s">
        <v>114</v>
      </c>
      <c r="R11" s="5">
        <v>0</v>
      </c>
      <c r="S11" s="4" t="s">
        <v>161</v>
      </c>
    </row>
    <row r="12" spans="2:19" ht="141.94999999999999" customHeight="1" x14ac:dyDescent="0.25">
      <c r="B12" s="9" t="s">
        <v>55</v>
      </c>
      <c r="C12" s="10" t="s">
        <v>56</v>
      </c>
      <c r="D12" s="11" t="s">
        <v>162</v>
      </c>
      <c r="E12" s="12" t="s">
        <v>163</v>
      </c>
      <c r="F12" s="12" t="s">
        <v>164</v>
      </c>
      <c r="G12" s="12" t="s">
        <v>165</v>
      </c>
      <c r="H12" s="12" t="s">
        <v>166</v>
      </c>
      <c r="I12" s="11" t="s">
        <v>145</v>
      </c>
      <c r="J12" s="11" t="s">
        <v>108</v>
      </c>
      <c r="K12" s="11" t="s">
        <v>109</v>
      </c>
      <c r="L12" s="11" t="s">
        <v>167</v>
      </c>
      <c r="M12" s="11" t="s">
        <v>149</v>
      </c>
      <c r="N12" s="7" t="s">
        <v>168</v>
      </c>
      <c r="O12" s="8">
        <v>35.630000000000003</v>
      </c>
      <c r="P12" s="11" t="s">
        <v>169</v>
      </c>
      <c r="Q12" s="25" t="s">
        <v>114</v>
      </c>
      <c r="R12" s="11">
        <v>0</v>
      </c>
      <c r="S12" s="10" t="s">
        <v>170</v>
      </c>
    </row>
    <row r="13" spans="2:19" ht="141.94999999999999" customHeight="1" x14ac:dyDescent="0.25">
      <c r="B13" s="3" t="s">
        <v>29</v>
      </c>
      <c r="C13" s="4" t="s">
        <v>171</v>
      </c>
      <c r="D13" s="5" t="s">
        <v>172</v>
      </c>
      <c r="E13" s="6" t="s">
        <v>130</v>
      </c>
      <c r="F13" s="6" t="s">
        <v>173</v>
      </c>
      <c r="G13" s="6" t="s">
        <v>174</v>
      </c>
      <c r="H13" s="6" t="s">
        <v>175</v>
      </c>
      <c r="I13" s="5" t="s">
        <v>176</v>
      </c>
      <c r="J13" s="5" t="s">
        <v>108</v>
      </c>
      <c r="K13" s="5" t="s">
        <v>109</v>
      </c>
      <c r="L13" s="5" t="s">
        <v>148</v>
      </c>
      <c r="M13" s="5" t="s">
        <v>124</v>
      </c>
      <c r="N13" s="13" t="s">
        <v>177</v>
      </c>
      <c r="O13" s="8">
        <v>35.630000000000003</v>
      </c>
      <c r="P13" s="5" t="s">
        <v>178</v>
      </c>
      <c r="Q13" s="24" t="s">
        <v>114</v>
      </c>
      <c r="R13" s="5">
        <v>0</v>
      </c>
      <c r="S13" s="4" t="s">
        <v>179</v>
      </c>
    </row>
    <row r="14" spans="2:19" ht="141.94999999999999" customHeight="1" x14ac:dyDescent="0.25">
      <c r="B14" s="9" t="s">
        <v>34</v>
      </c>
      <c r="C14" s="10" t="s">
        <v>180</v>
      </c>
      <c r="D14" s="11" t="s">
        <v>181</v>
      </c>
      <c r="E14" s="12" t="s">
        <v>182</v>
      </c>
      <c r="F14" s="12" t="s">
        <v>183</v>
      </c>
      <c r="G14" s="12" t="s">
        <v>184</v>
      </c>
      <c r="H14" s="12" t="s">
        <v>185</v>
      </c>
      <c r="I14" s="11" t="s">
        <v>158</v>
      </c>
      <c r="J14" s="11" t="s">
        <v>186</v>
      </c>
      <c r="K14" s="11" t="s">
        <v>147</v>
      </c>
      <c r="L14" s="11" t="s">
        <v>187</v>
      </c>
      <c r="M14" s="11" t="s">
        <v>149</v>
      </c>
      <c r="N14" s="13" t="s">
        <v>188</v>
      </c>
      <c r="O14" s="8">
        <v>35.630000000000003</v>
      </c>
      <c r="P14" s="11" t="s">
        <v>189</v>
      </c>
      <c r="Q14" s="25" t="s">
        <v>114</v>
      </c>
      <c r="R14" s="11">
        <v>0</v>
      </c>
      <c r="S14" s="10" t="s">
        <v>190</v>
      </c>
    </row>
    <row r="15" spans="2:19" ht="141.94999999999999" customHeight="1" x14ac:dyDescent="0.25">
      <c r="B15" s="3" t="s">
        <v>23</v>
      </c>
      <c r="C15" s="4" t="s">
        <v>191</v>
      </c>
      <c r="D15" s="5" t="s">
        <v>192</v>
      </c>
      <c r="E15" s="6" t="s">
        <v>193</v>
      </c>
      <c r="F15" s="6" t="s">
        <v>194</v>
      </c>
      <c r="G15" s="6" t="s">
        <v>195</v>
      </c>
      <c r="H15" s="6" t="s">
        <v>196</v>
      </c>
      <c r="I15" s="5" t="s">
        <v>107</v>
      </c>
      <c r="J15" s="5" t="s">
        <v>108</v>
      </c>
      <c r="K15" s="5" t="s">
        <v>109</v>
      </c>
      <c r="L15" s="5" t="s">
        <v>197</v>
      </c>
      <c r="M15" s="5" t="s">
        <v>198</v>
      </c>
      <c r="N15" s="13" t="s">
        <v>199</v>
      </c>
      <c r="O15" s="8">
        <v>17.809999999999999</v>
      </c>
      <c r="P15" s="5" t="s">
        <v>200</v>
      </c>
      <c r="Q15" s="24" t="s">
        <v>201</v>
      </c>
      <c r="R15" s="5">
        <v>0</v>
      </c>
      <c r="S15" s="4" t="s">
        <v>202</v>
      </c>
    </row>
    <row r="16" spans="2:19" ht="141.94999999999999" customHeight="1" x14ac:dyDescent="0.25">
      <c r="B16" s="9" t="s">
        <v>67</v>
      </c>
      <c r="C16" s="10" t="s">
        <v>203</v>
      </c>
      <c r="D16" s="11" t="s">
        <v>204</v>
      </c>
      <c r="E16" s="12" t="s">
        <v>205</v>
      </c>
      <c r="F16" s="12" t="s">
        <v>206</v>
      </c>
      <c r="G16" s="12" t="s">
        <v>207</v>
      </c>
      <c r="H16" s="12" t="s">
        <v>208</v>
      </c>
      <c r="I16" s="11" t="s">
        <v>158</v>
      </c>
      <c r="J16" s="11" t="s">
        <v>108</v>
      </c>
      <c r="K16" s="11" t="s">
        <v>109</v>
      </c>
      <c r="L16" s="11" t="s">
        <v>209</v>
      </c>
      <c r="M16" s="11" t="s">
        <v>210</v>
      </c>
      <c r="N16" s="7" t="s">
        <v>211</v>
      </c>
      <c r="O16" s="15">
        <v>17.809999999999999</v>
      </c>
      <c r="P16" s="11" t="s">
        <v>212</v>
      </c>
      <c r="Q16" s="25" t="s">
        <v>201</v>
      </c>
      <c r="R16" s="11">
        <v>0</v>
      </c>
      <c r="S16" s="10" t="s">
        <v>213</v>
      </c>
    </row>
    <row r="17" spans="2:19" ht="141.94999999999999" customHeight="1" x14ac:dyDescent="0.25">
      <c r="B17" s="3" t="s">
        <v>37</v>
      </c>
      <c r="C17" s="4" t="s">
        <v>214</v>
      </c>
      <c r="D17" s="5" t="s">
        <v>215</v>
      </c>
      <c r="E17" s="6" t="s">
        <v>216</v>
      </c>
      <c r="F17" s="6" t="s">
        <v>217</v>
      </c>
      <c r="G17" s="6" t="s">
        <v>218</v>
      </c>
      <c r="H17" s="6" t="s">
        <v>219</v>
      </c>
      <c r="I17" s="5" t="s">
        <v>176</v>
      </c>
      <c r="J17" s="5" t="s">
        <v>108</v>
      </c>
      <c r="K17" s="5" t="s">
        <v>109</v>
      </c>
      <c r="L17" s="5" t="s">
        <v>197</v>
      </c>
      <c r="M17" s="5" t="s">
        <v>111</v>
      </c>
      <c r="N17" s="13" t="s">
        <v>220</v>
      </c>
      <c r="O17" s="8">
        <v>0</v>
      </c>
      <c r="P17" s="5" t="s">
        <v>221</v>
      </c>
      <c r="Q17" s="24" t="s">
        <v>114</v>
      </c>
      <c r="R17" s="5">
        <v>0</v>
      </c>
      <c r="S17" s="4" t="s">
        <v>222</v>
      </c>
    </row>
    <row r="18" spans="2:19" ht="24.95" customHeight="1" x14ac:dyDescent="0.25">
      <c r="B18" s="38" t="s">
        <v>223</v>
      </c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16" t="s">
        <v>224</v>
      </c>
      <c r="N18" s="17" t="s">
        <v>225</v>
      </c>
      <c r="O18" s="18">
        <f>SUM(O7:O17)</f>
        <v>285.02999999999997</v>
      </c>
    </row>
    <row r="20" spans="2:19" ht="15.75" customHeight="1" x14ac:dyDescent="0.25">
      <c r="B20" s="34" t="s">
        <v>226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spans="2:19" ht="13.5" customHeight="1" x14ac:dyDescent="0.25">
      <c r="B21" s="26" t="s">
        <v>227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</row>
    <row r="22" spans="2:19" ht="13.5" customHeight="1" x14ac:dyDescent="0.25">
      <c r="B22" s="26" t="s">
        <v>228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8"/>
    </row>
    <row r="23" spans="2:19" ht="13.5" customHeight="1" x14ac:dyDescent="0.25">
      <c r="B23" s="26" t="s">
        <v>229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8"/>
    </row>
    <row r="24" spans="2:19" ht="13.5" customHeight="1" x14ac:dyDescent="0.25">
      <c r="B24" s="26" t="s">
        <v>230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8"/>
    </row>
    <row r="25" spans="2:19" ht="15" customHeight="1" x14ac:dyDescent="0.25">
      <c r="B25" s="26" t="s">
        <v>231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8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dxfId="18" priority="16" stopIfTrue="1">
      <formula>ISNUMBER(SEARCH("DEFCON 4",L7))</formula>
    </cfRule>
    <cfRule type="expression" dxfId="17" priority="17" stopIfTrue="1">
      <formula>ISNUMBER(SEARCH("DEFCON 3",L7))</formula>
    </cfRule>
    <cfRule type="expression" dxfId="16" priority="18" stopIfTrue="1">
      <formula>ISNUMBER(SEARCH("DEFCON 2",L7))</formula>
    </cfRule>
    <cfRule type="expression" dxfId="15" priority="19" stopIfTrue="1">
      <formula>ISNUMBER(SEARCH("DEFCON 1",L7))</formula>
    </cfRule>
  </conditionalFormatting>
  <conditionalFormatting sqref="M7:M17">
    <cfRule type="cellIs" dxfId="14" priority="7" operator="lessThan">
      <formula>0</formula>
    </cfRule>
    <cfRule type="cellIs" dxfId="13" priority="8" operator="greaterThan">
      <formula>0</formula>
    </cfRule>
    <cfRule type="cellIs" dxfId="12" priority="9" operator="equal">
      <formula>0</formula>
    </cfRule>
  </conditionalFormatting>
  <conditionalFormatting sqref="N7:N17">
    <cfRule type="expression" dxfId="11" priority="20" stopIfTrue="1">
      <formula>ISNUMBER(SEARCH("FLAG",N7))</formula>
    </cfRule>
    <cfRule type="expression" dxfId="10" priority="21" stopIfTrue="1">
      <formula>LEFT(N7,1)="🔴"</formula>
    </cfRule>
    <cfRule type="expression" dxfId="9" priority="22" stopIfTrue="1">
      <formula>LEFT(N7,1)="🟠"</formula>
    </cfRule>
    <cfRule type="expression" dxfId="8" priority="23" stopIfTrue="1">
      <formula>LEFT(N7,1)="🟡"</formula>
    </cfRule>
    <cfRule type="expression" dxfId="7" priority="24" stopIfTrue="1">
      <formula>ISNUMBER(SEARCH("DEFCON 3",N7))</formula>
    </cfRule>
    <cfRule type="expression" dxfId="6" priority="25" stopIfTrue="1">
      <formula>ISNUMBER(SEARCH("Halten",N7))</formula>
    </cfRule>
    <cfRule type="expression" dxfId="5" priority="26" stopIfTrue="1">
      <formula>LEFT(N7,1)="🟢"</formula>
    </cfRule>
  </conditionalFormatting>
  <conditionalFormatting sqref="O7:O17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7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27.75" customHeight="1" x14ac:dyDescent="0.25">
      <c r="B2" s="29" t="s">
        <v>0</v>
      </c>
      <c r="C2" s="30"/>
      <c r="D2" s="30"/>
      <c r="E2" s="30"/>
      <c r="F2" s="30"/>
      <c r="G2" s="30"/>
      <c r="H2" s="30"/>
      <c r="I2" s="30"/>
    </row>
    <row r="3" spans="2:9" ht="27" customHeight="1" x14ac:dyDescent="0.25">
      <c r="B3" s="31" t="s">
        <v>1</v>
      </c>
      <c r="C3" s="30"/>
      <c r="D3" s="30"/>
      <c r="E3" s="30"/>
      <c r="F3" s="30"/>
      <c r="G3" s="30"/>
      <c r="H3" s="30"/>
      <c r="I3" s="30"/>
    </row>
    <row r="4" spans="2:9" ht="6" customHeight="1" x14ac:dyDescent="0.25"/>
    <row r="5" spans="2:9" ht="30" customHeight="1" x14ac:dyDescent="0.25"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</row>
    <row r="6" spans="2:9" ht="129.94999999999999" customHeight="1" x14ac:dyDescent="0.25">
      <c r="B6" s="3" t="s">
        <v>10</v>
      </c>
      <c r="C6" s="5" t="s">
        <v>11</v>
      </c>
      <c r="D6" s="19" t="s">
        <v>12</v>
      </c>
      <c r="E6" s="19" t="s">
        <v>13</v>
      </c>
      <c r="F6" s="19" t="s">
        <v>14</v>
      </c>
      <c r="G6" s="13" t="s">
        <v>15</v>
      </c>
      <c r="H6" s="13" t="s">
        <v>16</v>
      </c>
      <c r="I6" s="20" t="s">
        <v>17</v>
      </c>
    </row>
    <row r="7" spans="2:9" ht="129.94999999999999" customHeight="1" x14ac:dyDescent="0.25">
      <c r="B7" s="9" t="s">
        <v>18</v>
      </c>
      <c r="C7" s="11" t="s">
        <v>19</v>
      </c>
      <c r="D7" s="19" t="s">
        <v>20</v>
      </c>
      <c r="E7" s="19" t="s">
        <v>21</v>
      </c>
      <c r="F7" s="19" t="s">
        <v>14</v>
      </c>
      <c r="G7" s="13" t="s">
        <v>15</v>
      </c>
      <c r="H7" s="13" t="s">
        <v>16</v>
      </c>
      <c r="I7" s="21" t="s">
        <v>22</v>
      </c>
    </row>
    <row r="8" spans="2:9" ht="129.94999999999999" customHeight="1" x14ac:dyDescent="0.25">
      <c r="B8" s="3" t="s">
        <v>23</v>
      </c>
      <c r="C8" s="5" t="s">
        <v>24</v>
      </c>
      <c r="D8" s="19" t="s">
        <v>25</v>
      </c>
      <c r="E8" s="19" t="s">
        <v>26</v>
      </c>
      <c r="F8" s="19" t="s">
        <v>14</v>
      </c>
      <c r="G8" s="13" t="s">
        <v>15</v>
      </c>
      <c r="H8" s="13" t="s">
        <v>27</v>
      </c>
      <c r="I8" s="20" t="s">
        <v>28</v>
      </c>
    </row>
    <row r="9" spans="2:9" ht="129.94999999999999" customHeight="1" x14ac:dyDescent="0.25">
      <c r="B9" s="9" t="s">
        <v>29</v>
      </c>
      <c r="C9" s="11" t="s">
        <v>30</v>
      </c>
      <c r="D9" s="19" t="s">
        <v>31</v>
      </c>
      <c r="E9" s="22" t="s">
        <v>32</v>
      </c>
      <c r="F9" s="19" t="s">
        <v>14</v>
      </c>
      <c r="G9" s="13" t="s">
        <v>15</v>
      </c>
      <c r="H9" s="13" t="s">
        <v>16</v>
      </c>
      <c r="I9" s="21" t="s">
        <v>33</v>
      </c>
    </row>
    <row r="10" spans="2:9" ht="129.94999999999999" customHeight="1" x14ac:dyDescent="0.25">
      <c r="B10" s="3" t="s">
        <v>34</v>
      </c>
      <c r="C10" s="5" t="s">
        <v>35</v>
      </c>
      <c r="D10" s="19" t="s">
        <v>20</v>
      </c>
      <c r="E10" s="19" t="s">
        <v>20</v>
      </c>
      <c r="F10" s="19" t="s">
        <v>14</v>
      </c>
      <c r="G10" s="13" t="s">
        <v>15</v>
      </c>
      <c r="H10" s="13" t="s">
        <v>16</v>
      </c>
      <c r="I10" s="20" t="s">
        <v>36</v>
      </c>
    </row>
    <row r="11" spans="2:9" ht="129.94999999999999" customHeight="1" x14ac:dyDescent="0.25">
      <c r="B11" s="9" t="s">
        <v>37</v>
      </c>
      <c r="C11" s="11" t="s">
        <v>38</v>
      </c>
      <c r="D11" s="19" t="s">
        <v>39</v>
      </c>
      <c r="E11" s="19" t="s">
        <v>40</v>
      </c>
      <c r="F11" s="19" t="s">
        <v>14</v>
      </c>
      <c r="G11" s="13" t="s">
        <v>41</v>
      </c>
      <c r="H11" s="13" t="s">
        <v>42</v>
      </c>
      <c r="I11" s="21" t="s">
        <v>43</v>
      </c>
    </row>
    <row r="12" spans="2:9" ht="129.94999999999999" customHeight="1" x14ac:dyDescent="0.25">
      <c r="B12" s="3" t="s">
        <v>44</v>
      </c>
      <c r="C12" s="5" t="s">
        <v>45</v>
      </c>
      <c r="D12" s="22" t="s">
        <v>46</v>
      </c>
      <c r="E12" s="19" t="s">
        <v>47</v>
      </c>
      <c r="F12" s="19" t="s">
        <v>14</v>
      </c>
      <c r="G12" s="13" t="s">
        <v>15</v>
      </c>
      <c r="H12" s="7" t="s">
        <v>48</v>
      </c>
      <c r="I12" s="20" t="s">
        <v>49</v>
      </c>
    </row>
    <row r="13" spans="2:9" ht="129.94999999999999" customHeight="1" x14ac:dyDescent="0.25">
      <c r="B13" s="9" t="s">
        <v>50</v>
      </c>
      <c r="C13" s="11" t="s">
        <v>51</v>
      </c>
      <c r="D13" s="22" t="s">
        <v>52</v>
      </c>
      <c r="E13" s="19" t="s">
        <v>53</v>
      </c>
      <c r="F13" s="19" t="s">
        <v>14</v>
      </c>
      <c r="G13" s="13" t="s">
        <v>15</v>
      </c>
      <c r="H13" s="7" t="s">
        <v>16</v>
      </c>
      <c r="I13" s="21" t="s">
        <v>54</v>
      </c>
    </row>
    <row r="14" spans="2:9" ht="129.94999999999999" customHeight="1" x14ac:dyDescent="0.25">
      <c r="B14" s="3" t="s">
        <v>55</v>
      </c>
      <c r="C14" s="5" t="s">
        <v>56</v>
      </c>
      <c r="D14" s="22" t="s">
        <v>57</v>
      </c>
      <c r="E14" s="22" t="s">
        <v>58</v>
      </c>
      <c r="F14" s="19" t="s">
        <v>14</v>
      </c>
      <c r="G14" s="13" t="s">
        <v>15</v>
      </c>
      <c r="H14" s="7" t="s">
        <v>16</v>
      </c>
      <c r="I14" s="20" t="s">
        <v>59</v>
      </c>
    </row>
    <row r="15" spans="2:9" ht="129.94999999999999" customHeight="1" x14ac:dyDescent="0.25">
      <c r="B15" s="9" t="s">
        <v>60</v>
      </c>
      <c r="C15" s="11" t="s">
        <v>61</v>
      </c>
      <c r="D15" s="22" t="s">
        <v>62</v>
      </c>
      <c r="E15" s="19" t="s">
        <v>63</v>
      </c>
      <c r="F15" s="19" t="s">
        <v>14</v>
      </c>
      <c r="G15" s="14" t="s">
        <v>64</v>
      </c>
      <c r="H15" s="14" t="s">
        <v>65</v>
      </c>
      <c r="I15" s="21" t="s">
        <v>66</v>
      </c>
    </row>
    <row r="16" spans="2:9" ht="129.94999999999999" customHeight="1" x14ac:dyDescent="0.25">
      <c r="B16" s="3" t="s">
        <v>67</v>
      </c>
      <c r="C16" s="5" t="s">
        <v>68</v>
      </c>
      <c r="D16" s="19" t="s">
        <v>69</v>
      </c>
      <c r="E16" s="23" t="s">
        <v>70</v>
      </c>
      <c r="F16" s="19" t="s">
        <v>14</v>
      </c>
      <c r="G16" s="13" t="s">
        <v>15</v>
      </c>
      <c r="H16" s="14" t="s">
        <v>71</v>
      </c>
      <c r="I16" s="20" t="s">
        <v>72</v>
      </c>
    </row>
    <row r="19" spans="2:9" ht="15.75" customHeight="1" x14ac:dyDescent="0.25">
      <c r="B19" s="32" t="s">
        <v>73</v>
      </c>
      <c r="C19" s="27"/>
      <c r="D19" s="27"/>
      <c r="E19" s="27"/>
      <c r="F19" s="27"/>
      <c r="G19" s="27"/>
      <c r="H19" s="27"/>
      <c r="I19" s="28"/>
    </row>
    <row r="20" spans="2:9" ht="13.5" customHeight="1" x14ac:dyDescent="0.25">
      <c r="B20" s="26" t="s">
        <v>74</v>
      </c>
      <c r="C20" s="27"/>
      <c r="D20" s="27"/>
      <c r="E20" s="27"/>
      <c r="F20" s="27"/>
      <c r="G20" s="27"/>
      <c r="H20" s="27"/>
      <c r="I20" s="28"/>
    </row>
    <row r="21" spans="2:9" ht="13.5" customHeight="1" x14ac:dyDescent="0.25">
      <c r="B21" s="26" t="s">
        <v>75</v>
      </c>
      <c r="C21" s="27"/>
      <c r="D21" s="27"/>
      <c r="E21" s="27"/>
      <c r="F21" s="27"/>
      <c r="G21" s="27"/>
      <c r="H21" s="27"/>
      <c r="I21" s="28"/>
    </row>
    <row r="22" spans="2:9" ht="13.5" customHeight="1" x14ac:dyDescent="0.25">
      <c r="B22" s="26" t="s">
        <v>76</v>
      </c>
      <c r="C22" s="27"/>
      <c r="D22" s="27"/>
      <c r="E22" s="27"/>
      <c r="F22" s="27"/>
      <c r="G22" s="27"/>
      <c r="H22" s="27"/>
      <c r="I22" s="28"/>
    </row>
    <row r="23" spans="2:9" ht="13.5" customHeight="1" x14ac:dyDescent="0.25">
      <c r="B23" s="26" t="s">
        <v>77</v>
      </c>
      <c r="C23" s="27"/>
      <c r="D23" s="27"/>
      <c r="E23" s="27"/>
      <c r="F23" s="27"/>
      <c r="G23" s="27"/>
      <c r="H23" s="27"/>
      <c r="I23" s="28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2026-04-18T16:21:15Z</dcterms:modified>
  <dc:language>en-US</dc:language>
</cp:coreProperties>
</file>