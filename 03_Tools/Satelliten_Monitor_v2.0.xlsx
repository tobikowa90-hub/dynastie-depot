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30.04.2026 (APH Q1 FY26 Tag-+1 Vollanalyse Score 63→61)  |  Broker: Scalable Capital  |  Slots: 11/11</t>
        </is>
      </c>
    </row>
    <row r="3" ht="57.95" customHeight="1" s="30">
      <c r="B3" s="29" t="inlineStr">
        <is>
          <t>Sparrate Satelliten: 285 €/Monat  |  D3/D4-Rate: 38,00€  |  D2-Sockelbetrag: 19,00€ (50%)  |  Nenner 7.5 (v3.7 unverändert post-APH-Score-Move 30.04. — FLAG-Regime stabil)</t>
        </is>
      </c>
      <c r="E3" s="33" t="inlineStr">
        <is>
          <t>Vollanalysiert: 11 / 11 ✅  |  Geschätzt: 0 / 11</t>
        </is>
      </c>
      <c r="H3" s="33" t="inlineStr">
        <is>
          <t>Eingefroren: MSFT (🔴 CapEx/OCF &gt;60%, D2) | APH (🔴 Score-basiert 61, D2) | AVGO (🔴 Insider-Selling 90d $106M+, ab 27.04.) — Sparrate 0€</t>
        </is>
      </c>
      <c r="K3" s="33" t="inlineStr">
        <is>
          <t>Ergebnis: 🟢 7 Voll  🟠 1 D2-Sockelbetrag (V)  🔴 3 Eingefroren (MSFT, APH, AVGO)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🔴 FLAG: Insider-Selling 90d $106M+ (5-14× Schwelle) | OpenInsider 9 Tx „S - Sale" ohne 10b5-1-Suffix | Aktiviert 27.04.2026 | Re-Eval Q3 FY26</t>
        </is>
      </c>
      <c r="O8" s="8" t="n">
        <v>0</v>
      </c>
      <c r="P8" s="11" t="inlineStr">
        <is>
          <t>Q3 FY26 Earnings Jun 2026</t>
        </is>
      </c>
      <c r="Q8" s="41" t="n">
        <v>46129</v>
      </c>
      <c r="R8" s="42">
        <f>TODAY()-Q8</f>
        <v/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 v3.5-&gt;v3.7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9" t="n">
        <v>46129</v>
      </c>
      <c r="R9" s="40">
        <f>TODAY()-Q9</f>
        <v/>
      </c>
      <c r="S9" s="4" t="inlineStr">
        <is>
          <t>[V] Re-Analyse 08.04.: 77-&gt;60 (-17). CapEx/OCF Q2 FY26 83,6% (bereinigt ~63%). ROIC 7,5% &lt; WACC 13,35%. FLAG aktiv. Re-Check 29.04. Q3 FY26 —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38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64 / DEFCON 2</t>
        </is>
      </c>
      <c r="M15" s="5" t="inlineStr">
        <is>
          <t>+1 Codex-Revert vs 28.04. mittags</t>
        </is>
      </c>
      <c r="N15" s="13" t="inlineStr">
        <is>
          <t>🟠 DEFCON 2 / ⏸ Sockelbetrag 19,00€ | Q2 Beat-Cascade D3 → Codex-Revert D2 (HIGH-1+2 28.04. spätabends) | Q3 ~Ende Juli ROIC-Verify (PIPELINE #21)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61 / DEFCON 2</t>
        </is>
      </c>
      <c r="M17" s="5" t="inlineStr">
        <is>
          <t>-2 vs 17.04. (Q1 FY26 Vollanalyse)</t>
        </is>
      </c>
      <c r="N17" s="13" t="inlineStr">
        <is>
          <t>🔴 FLAG: Score 61 (DEFCON 2, &lt;65 D3-Threshold) | CommScope-NL 1,6x | China-Tax 27% [Q2-Verify ~23.07.]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 &gt;60%, D2, Score 59) | APH (FLAG Score-basiert, D2, Score 61 ab 30.04.) | AVGO (FLAG Insider-Selling 90d $106M+, D4 Score 84, ab 27.04.)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38,00€ (7 Positionen): ASML/COST/RMS/VEEV/SU/BRK.B/TMO D3  |  🟠 D2-Sockelbetrag 19,00€ (1): V  |  🔴 Eingefroren 0€ (3): MSFT, APH, AVGO  |  Nenner 7×1,0 + 1×0,5 + 3×0 = 7,5  |  Σ = 7×38,00 + 1×19,00 + 3×0 = 285,00€ ✓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2026-04-29T22:46:42Z</dcterms:modified>
  <cp:lastModifiedBy>Tobias Kowalski</cp:lastModifiedBy>
  <cp:revision>0</cp:revision>
</cp:coreProperties>
</file>