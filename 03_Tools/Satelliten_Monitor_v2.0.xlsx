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Satelliten Monitor" sheetId="1" state="visible" r:id="rId1"/>
    <sheet xmlns:r="http://schemas.openxmlformats.org/officeDocument/2006/relationships"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€#,##0.00"/>
    <numFmt numFmtId="165" formatCode="yyyy\-mm\-dd\ h:mm:ss"/>
    <numFmt numFmtId="166" formatCode="DD.MM.YYYY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166" fontId="5" fillId="5" borderId="1" applyAlignment="1" pivotButton="0" quotePrefix="0" xfId="0">
      <alignment horizontal="center" vertical="center" wrapText="1"/>
    </xf>
    <xf numFmtId="1" fontId="5" fillId="5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" fontId="5" fillId="8" borderId="1" applyAlignment="1" pivotButton="0" quotePrefix="0" xfId="0">
      <alignment horizontal="center" vertical="center" wrapText="1"/>
    </xf>
  </cellXfs>
  <cellStyles count="1">
    <cellStyle name="Standard" xfId="0" builtinId="0"/>
  </cellStyles>
  <dxfs count="19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3" sqref="A3:XFD3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4" customWidth="1" style="30" min="4" max="4"/>
    <col width="12" customWidth="1" style="30" min="5" max="5"/>
    <col width="10" customWidth="1" style="30" min="6" max="6"/>
    <col width="11" customWidth="1" style="30" min="7" max="7"/>
    <col width="10" customWidth="1" style="30" min="8" max="8"/>
    <col width="13" customWidth="1" style="30" min="9" max="9"/>
    <col width="14" customWidth="1" style="30" min="10" max="10"/>
    <col width="8" customWidth="1" style="30" min="11" max="11"/>
    <col width="14" customWidth="1" style="30" min="12" max="12"/>
    <col width="8" customWidth="1" style="30" min="13" max="13"/>
    <col width="21.28515625" customWidth="1" style="30" min="14" max="14"/>
    <col width="10" customWidth="1" style="30" min="15" max="15"/>
    <col width="13" customWidth="1" style="30" min="16" max="16"/>
    <col width="11" customWidth="1" style="30" min="17" max="17"/>
    <col width="9" customWidth="1" style="30" min="18" max="18"/>
    <col width="48" customWidth="1" style="30" min="19" max="19"/>
  </cols>
  <sheetData>
    <row r="1" ht="6" customHeight="1" s="30"/>
    <row r="2" ht="27.75" customHeight="1" s="30">
      <c r="B2" s="35" t="inlineStr">
        <is>
          <t>🦅  DYNASTIEDEPOT – SATELLITEN MONITOR v2.0</t>
        </is>
      </c>
      <c r="O2" s="31" t="inlineStr">
        <is>
          <t>Stand: 28.04.2026 spätabends post-V-Rescoring-Revert  |  Broker: Scalable Capital  |  Slots: 11/11</t>
        </is>
      </c>
    </row>
    <row r="3" ht="57.95" customHeight="1" s="30">
      <c r="B3" s="29" t="inlineStr">
        <is>
          <t>Sparrate Satelliten: 285 €/Monat  |  D3/D4-Rate: 38,00€  |  D2-Sockelbetrag: 19,00€ (50%)  |  Nenner 7.5 (v3.7 post-AVGO-FLAG-27.04. + V-Rescoring-Revert-28.04. spätabends)</t>
        </is>
      </c>
      <c r="E3" s="33" t="inlineStr">
        <is>
          <t>Vollanalysiert: 11 / 11 ✅  |  Geschätzt: 0 / 11</t>
        </is>
      </c>
      <c r="H3" s="33" t="inlineStr">
        <is>
          <t>Eingefroren: MSFT (🔴 CapEx/OCF &gt;60%, D2) | APH (🔴 Score-basiert, D2) | AVGO (🔴 Insider-Selling 90d $106M+, ab 27.04.) — Sparrate 0€</t>
        </is>
      </c>
      <c r="K3" s="33" t="inlineStr">
        <is>
          <t>Ergebnis: 🟢 7 Voll  🟠 1 D2-Sockelbetrag (V)  🔴 3 Eingefroren (MSFT, APH, AVGO)</t>
        </is>
      </c>
      <c r="N3" s="34" t="inlineStr">
        <is>
          <t>Quellen: Vollanalyse [V] | Kalibrierungsanalyse [KB] | Schätzung [~] | Tariff-Check [TC]</t>
        </is>
      </c>
    </row>
    <row r="4" ht="18" customHeight="1" s="30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0"/>
    <row r="7" ht="141.95" customHeight="1" s="30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48x [V 17.04.]</t>
        </is>
      </c>
      <c r="F7" s="6" t="inlineStr">
        <is>
          <t>26.48% TTM [V 17.04.]</t>
        </is>
      </c>
      <c r="G7" s="6" t="inlineStr">
        <is>
          <t>52.8% [V 17.04.]</t>
        </is>
      </c>
      <c r="H7" s="6" t="inlineStr">
        <is>
          <t>~16% [~]</t>
        </is>
      </c>
      <c r="I7" s="5" t="inlineStr">
        <is>
          <t>9 / Wide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68 / DEFCON 3</t>
        </is>
      </c>
      <c r="M7" s="5" t="inlineStr">
        <is>
          <t>+2 v3.5-&gt;v3.7</t>
        </is>
      </c>
      <c r="N7" s="7" t="inlineStr">
        <is>
          <t>🟡 DEFCON 3 / ✅ Volle Rate 38,00€ (D3=1.0, Nenner 7.5 post-TMO-Q1)</t>
        </is>
      </c>
      <c r="O7" s="8" t="n">
        <v>38</v>
      </c>
      <c r="P7" s="5" t="inlineStr">
        <is>
          <t>Q1 2026 Earnings 15.04.</t>
        </is>
      </c>
      <c r="Q7" s="39" t="n">
        <v>46129</v>
      </c>
      <c r="R7" s="40">
        <f>TODAY()-Q7</f>
        <v/>
      </c>
      <c r="S7" s="4" t="inlineStr">
        <is>
          <t>[V 17.04.] Score 68. OpM 36,1%, Fwd P/E 39,52 + P/FCF 48x -&gt; QT-Fix-1 beide hart 0. ROIC 26,48% TTM. WATCH: Fwd P/E FY27 30,30 Grenzfall — bei &lt;30 Score +1-2 (D4-Upside).</t>
        </is>
      </c>
    </row>
    <row r="8" ht="141.95" customHeight="1" s="30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~22x [KB]</t>
        </is>
      </c>
      <c r="F8" s="12" t="inlineStr">
        <is>
          <t>&gt;20% [KB]</t>
        </is>
      </c>
      <c r="G8" s="12" t="inlineStr">
        <is>
          <t>~65% [KB]</t>
        </is>
      </c>
      <c r="H8" s="12" t="inlineStr">
        <is>
          <t>~21% [KB]</t>
        </is>
      </c>
      <c r="I8" s="11" t="inlineStr">
        <is>
          <t>Wide [KB]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84 / DEFCON 4</t>
        </is>
      </c>
      <c r="M8" s="11" t="inlineStr">
        <is>
          <t>-2 v3.5-&gt;v3.7</t>
        </is>
      </c>
      <c r="N8" s="13" t="inlineStr">
        <is>
          <t>🔴 FLAG: Insider-Selling 90d $106M+ (5-14× Schwelle) | OpenInsider 9 Tx „S - Sale" ohne 10b5-1-Suffix | Aktiviert 27.04.2026 | Re-Eval Q3 FY26</t>
        </is>
      </c>
      <c r="O8" s="8" t="n">
        <v>0</v>
      </c>
      <c r="P8" s="11" t="inlineStr">
        <is>
          <t>Q3 FY26 Earnings Jun 2026</t>
        </is>
      </c>
      <c r="Q8" s="41" t="n">
        <v>46129</v>
      </c>
      <c r="R8" s="42">
        <f>TODAY()-Q8</f>
        <v/>
      </c>
      <c r="S8" s="10" t="inlineStr">
        <is>
          <t>[KB] Kalibrierungsanker 86-&gt;84 (v3.7 Algebra). Fabless CapEx/OCF &lt;15%. AI-Backlog. Insider $123M unter Review — OpenInsider-Check vor FLAG-Aktivierung.</t>
        </is>
      </c>
    </row>
    <row r="9" ht="141.95" customHeight="1" s="30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7.5% [V]</t>
        </is>
      </c>
      <c r="G9" s="6" t="inlineStr">
        <is>
          <t>~69% [~]</t>
        </is>
      </c>
      <c r="H9" s="6" t="inlineStr">
        <is>
          <t>~13% [~]</t>
        </is>
      </c>
      <c r="I9" s="5" t="inlineStr">
        <is>
          <t>9 / Wide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59 / DEFCON 2</t>
        </is>
      </c>
      <c r="M9" s="5" t="inlineStr">
        <is>
          <t>-1 v3.5-&gt;v3.7</t>
        </is>
      </c>
      <c r="N9" s="14" t="inlineStr">
        <is>
          <t>🔴 FLAG: CapEx/OCF &gt;60% | DEFCON 2 (59) | ⏸ Einfrieren</t>
        </is>
      </c>
      <c r="O9" s="15" t="n">
        <v>0</v>
      </c>
      <c r="P9" s="5" t="inlineStr">
        <is>
          <t>29.04.2026 Q3 FY26 Earnings</t>
        </is>
      </c>
      <c r="Q9" s="39" t="n">
        <v>46129</v>
      </c>
      <c r="R9" s="40">
        <f>TODAY()-Q9</f>
        <v/>
      </c>
      <c r="S9" s="4" t="inlineStr">
        <is>
          <t>[V] Re-Analyse 08.04.: 77-&gt;60 (-17). CapEx/OCF Q2 FY26 83,6% (bereinigt ~63%). ROIC 7,5% &lt; WACC 13,35%. FLAG aktiv. Re-Check 29.04. Q3 FY26 — bereinigtes CapEx/OCF &lt;60% = FLAG-Auflösung möglich.</t>
        </is>
      </c>
    </row>
    <row r="10" ht="141.95" customHeight="1" s="30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~53x [~]</t>
        </is>
      </c>
      <c r="F10" s="12" t="inlineStr">
        <is>
          <t>5.6% GAAP (MY 15.2%)</t>
        </is>
      </c>
      <c r="G10" s="12" t="inlineStr">
        <is>
          <t>12.7%</t>
        </is>
      </c>
      <c r="H10" s="12" t="inlineStr">
        <is>
          <t>~10% [~]</t>
        </is>
      </c>
      <c r="I10" s="11" t="inlineStr">
        <is>
          <t>8 / Wide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3</t>
        </is>
      </c>
      <c r="M10" s="11" t="inlineStr">
        <is>
          <t>0 v3.5-&gt;v3.7</t>
        </is>
      </c>
      <c r="N10" s="13" t="inlineStr">
        <is>
          <t>🟢 Halten | D4→D3 Schema-Alignment 18.04. | Screener-Exception Membership Yield 15.2% &gt; WACC</t>
        </is>
      </c>
      <c r="O10" s="8" t="n">
        <v>38</v>
      </c>
      <c r="P10" s="11" t="inlineStr">
        <is>
          <t>28.05.2026</t>
        </is>
      </c>
      <c r="Q10" s="41" t="n">
        <v>46129</v>
      </c>
      <c r="R10" s="42">
        <f>TODAY()-Q10</f>
        <v/>
      </c>
      <c r="S10" s="10" t="inlineStr">
        <is>
          <t>[~] Exception: GM 12,7% strukturell (Membership-Fee). Membership-Yield 15,2% &gt; WACC 12,3% als ökonomischer Return. D4-&gt;D3 Label-Fix 18.04. Volle Rate 35,63€.</t>
        </is>
      </c>
    </row>
    <row r="11" ht="141.75" customHeight="1" s="30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38x [V]</t>
        </is>
      </c>
      <c r="F11" s="6" t="inlineStr">
        <is>
          <t>24.2% TTM [V]</t>
        </is>
      </c>
      <c r="G11" s="6" t="inlineStr">
        <is>
          <t>71% [V]</t>
        </is>
      </c>
      <c r="H11" s="6" t="inlineStr">
        <is>
          <t>~13% [~]</t>
        </is>
      </c>
      <c r="I11" s="5" t="inlineStr">
        <is>
          <t>Wide [V]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3</t>
        </is>
      </c>
      <c r="M11" s="5" t="inlineStr">
        <is>
          <t>-1 v3.5-&gt;v3.7</t>
        </is>
      </c>
      <c r="N11" s="7" t="inlineStr">
        <is>
          <t>🟢 Halten | D4→D3 Schema-Alignment 18.04. | Screener-Exception ROIC 24% &gt;&gt; WACC</t>
        </is>
      </c>
      <c r="O11" s="8" t="n">
        <v>38</v>
      </c>
      <c r="P11" s="5" t="inlineStr">
        <is>
          <t>H1 2026 Report Juli/Aug 2026</t>
        </is>
      </c>
      <c r="Q11" s="39" t="n">
        <v>46129</v>
      </c>
      <c r="R11" s="40">
        <f>TODAY()-Q11</f>
        <v/>
      </c>
      <c r="S11" s="4" t="inlineStr">
        <is>
          <t>[V] Re-Analyse 15.04.: 71-&gt;68 (Q1 Miss -8,4% Mittlerer Osten). ROIC 24% &gt;&gt; WACC 6,5% = Screener-Exception #3. Netto-Cash +9,89B EUR. D4-&gt;D3 Label-Fix 18.04. Volle Rate 35,63€.</t>
        </is>
      </c>
    </row>
    <row r="12" ht="141.95" customHeight="1" s="30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3</t>
        </is>
      </c>
      <c r="M12" s="11" t="inlineStr">
        <is>
          <t>0 v3.5-&gt;v3.7</t>
        </is>
      </c>
      <c r="N12" s="7" t="inlineStr">
        <is>
          <t>🟢 Halten | D4→D3 Schema-Alignment 18.04.</t>
        </is>
      </c>
      <c r="O12" s="8" t="n">
        <v>38</v>
      </c>
      <c r="P12" s="11" t="inlineStr">
        <is>
          <t>21.05.2026 Q1 FY27</t>
        </is>
      </c>
      <c r="Q12" s="41" t="n">
        <v>46129</v>
      </c>
      <c r="R12" s="42">
        <f>TODAY()-Q12</f>
        <v/>
      </c>
      <c r="S12" s="10" t="inlineStr">
        <is>
          <t>[V] Score 74 stabil. Asset-light SaaS. Moat Wide (Switching Costs Life-Science). CapEx/OCF &lt;10%. D4-&gt;D3 Label-Fix 18.04. Volle Rate 35,63€.</t>
        </is>
      </c>
    </row>
    <row r="13" ht="141.95" customHeight="1" s="30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~38x [~]</t>
        </is>
      </c>
      <c r="F13" s="6" t="inlineStr">
        <is>
          <t>10.48% TTM</t>
        </is>
      </c>
      <c r="G13" s="6" t="inlineStr">
        <is>
          <t>~42% [~]</t>
        </is>
      </c>
      <c r="H13" s="6" t="inlineStr">
        <is>
          <t>~11% [~]</t>
        </is>
      </c>
      <c r="I13" s="5" t="inlineStr">
        <is>
          <t>Narrow/Wide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3</t>
        </is>
      </c>
      <c r="M13" s="5" t="inlineStr">
        <is>
          <t>-2 v3.5-&gt;v3.7</t>
        </is>
      </c>
      <c r="N13" s="13" t="inlineStr">
        <is>
          <t>🟢 Halten | D4→D3 Schema-Alignment 18.04. | v3.7 Fix-3 Sell-Ratio</t>
        </is>
      </c>
      <c r="O13" s="8" t="n">
        <v>38</v>
      </c>
      <c r="P13" s="5" t="inlineStr">
        <is>
          <t>07.05.2026</t>
        </is>
      </c>
      <c r="Q13" s="39" t="n">
        <v>46129</v>
      </c>
      <c r="R13" s="40">
        <f>TODAY()-Q13</f>
        <v/>
      </c>
      <c r="S13" s="4" t="inlineStr">
        <is>
          <t>[~] EUR-denominiert. ROIC 10,48% &gt; WACC 8,96%. Non-US IFRS. FCF-Wachstum +41% 3J. Schwächen: P/FCF 37,7x, Goodwill 40,2% (AVEVA). D4-&gt;D3 Label-Fix 18.04. Volle Rate 35,63€.</t>
        </is>
      </c>
    </row>
    <row r="14" ht="141.95" customHeight="1" s="30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 (P/B 1.44x)</t>
        </is>
      </c>
      <c r="F14" s="12" t="inlineStr">
        <is>
          <t>5.6-7.8% GAAP [Float]</t>
        </is>
      </c>
      <c r="G14" s="12" t="inlineStr">
        <is>
          <t>n.a. (Holding)</t>
        </is>
      </c>
      <c r="H14" s="12" t="inlineStr">
        <is>
          <t>~8% [~]</t>
        </is>
      </c>
      <c r="I14" s="11" t="inlineStr">
        <is>
          <t>Wide [V]</t>
        </is>
      </c>
      <c r="J14" s="11" t="inlineStr">
        <is>
          <t>~1,5-1,6x P/B</t>
        </is>
      </c>
      <c r="K14" s="11" t="inlineStr">
        <is>
          <t>Ja</t>
        </is>
      </c>
      <c r="L14" s="11" t="inlineStr">
        <is>
          <t>75 / DEFCON 3</t>
        </is>
      </c>
      <c r="M14" s="11" t="inlineStr">
        <is>
          <t>0 v3.5-&gt;v3.7</t>
        </is>
      </c>
      <c r="N14" s="13" t="inlineStr">
        <is>
          <t>🟢 Halten | D4→D3 Schema-Alignment 18.04. | Insurance Exception (P/B 1.44x)</t>
        </is>
      </c>
      <c r="O14" s="8" t="n">
        <v>38</v>
      </c>
      <c r="P14" s="11" t="inlineStr">
        <is>
          <t>30.06.2026</t>
        </is>
      </c>
      <c r="Q14" s="41" t="n">
        <v>46129</v>
      </c>
      <c r="R14" s="42">
        <f>TODAY()-Q14</f>
        <v/>
      </c>
      <c r="S14" s="10" t="inlineStr">
        <is>
          <t>[~] Insurance Exception: P/B 1,44x. Float $686B, BNSF, 60J Track-Record. Insider: Abel $15,3M Open-Market. CapEx/OCF 45,6% (BNSF+BHE, kein FLAG). D4-&gt;D3 Label-Fix 18.04. Volle Rate 35,63€.</t>
        </is>
      </c>
    </row>
    <row r="15" ht="141.95" customHeight="1" s="30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28.32x [V 18.04.]</t>
        </is>
      </c>
      <c r="F15" s="6" t="inlineStr">
        <is>
          <t>9.89% GAAP &lt; WACC 10.48%</t>
        </is>
      </c>
      <c r="G15" s="6" t="inlineStr">
        <is>
          <t>80.4% [V 18.04.]</t>
        </is>
      </c>
      <c r="H15" s="6" t="inlineStr">
        <is>
          <t>~12% [~]</t>
        </is>
      </c>
      <c r="I15" s="5" t="inlineStr">
        <is>
          <t>9 / Wide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64 / DEFCON 2</t>
        </is>
      </c>
      <c r="M15" s="5" t="inlineStr">
        <is>
          <t>+1 Codex-Revert vs 28.04. mittags</t>
        </is>
      </c>
      <c r="N15" s="13" t="inlineStr">
        <is>
          <t>🟠 DEFCON 2 / ⏸ Sockelbetrag 19,00€ | Q2 Beat-Cascade D3 → Codex-Revert D2 (HIGH-1+2 28.04. spätabends) | Q3 ~Ende Juli ROIC-Verify (PIPELINE #21)</t>
        </is>
      </c>
      <c r="O15" s="8" t="n">
        <v>19</v>
      </c>
      <c r="P15" s="5" t="inlineStr">
        <is>
          <t>22.07.2026</t>
        </is>
      </c>
      <c r="Q15" s="39" t="n">
        <v>46130</v>
      </c>
      <c r="R15" s="40">
        <f>TODAY()-Q15</f>
        <v/>
      </c>
      <c r="S15" s="4" t="inlineStr">
        <is>
      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      </is>
      </c>
    </row>
    <row r="16" ht="141.95" customHeight="1" s="30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31.10x [V 18.04.]</t>
        </is>
      </c>
      <c r="F16" s="12" t="inlineStr">
        <is>
          <t>17.18% bereinigt (Regel-4)</t>
        </is>
      </c>
      <c r="G16" s="12" t="inlineStr">
        <is>
          <t>40.9% [V 18.04.]</t>
        </is>
      </c>
      <c r="H16" s="12" t="inlineStr">
        <is>
          <t>~4% [~]</t>
        </is>
      </c>
      <c r="I16" s="11" t="inlineStr">
        <is>
          <t>Wide [V]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67 / DEFCON 3</t>
        </is>
      </c>
      <c r="M16" s="11" t="inlineStr">
        <is>
          <t>+3 Q1 FY26 Beat+Raise</t>
        </is>
      </c>
      <c r="N16" s="7" t="inlineStr">
        <is>
          <t>🟡 DEFCON 3 / ✅ Volle Rate 38,00€ | fcf_trend_neg Resolve (Q1 WC-Unwind) | Q2 ~Ende Juli</t>
        </is>
      </c>
      <c r="O16" s="15" t="n">
        <v>38</v>
      </c>
      <c r="P16" s="11" t="inlineStr">
        <is>
          <t>23.04.2026 Q1 Earnings</t>
        </is>
      </c>
      <c r="Q16" s="41" t="n">
        <v>46135</v>
      </c>
      <c r="R16" s="42">
        <f>TODAY()-Q16</f>
        <v/>
      </c>
      <c r="S16" s="10" t="inlineStr">
        <is>
      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17,81€→33,53€. Watches: Organic-Akzeleration H2, Clario-Integration-Execution, Net-Debt/EBITDA Post-Deal. Q2 ~Ende Juli Re-Check.</t>
        </is>
      </c>
    </row>
    <row r="17" ht="141.95" customHeight="1" s="30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~28x [~]</t>
        </is>
      </c>
      <c r="F17" s="6" t="inlineStr">
        <is>
          <t>~22% [~]</t>
        </is>
      </c>
      <c r="G17" s="6" t="inlineStr">
        <is>
          <t>~32% [V]</t>
        </is>
      </c>
      <c r="H17" s="6" t="inlineStr">
        <is>
          <t>~18% [~]</t>
        </is>
      </c>
      <c r="I17" s="5" t="inlineStr">
        <is>
          <t>Narrow/Wide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63 / DEFCON 2</t>
        </is>
      </c>
      <c r="M17" s="5" t="inlineStr">
        <is>
          <t>+2 v3.5-&gt;v3.7</t>
        </is>
      </c>
      <c r="N17" s="13" t="inlineStr">
        <is>
          <t>🔴 FLAG: Score 63 (DEFCON 2 seit 18.04.) | CN Revenue 14.7% Risk-Map [TC] | Sparrate 0€</t>
        </is>
      </c>
      <c r="O17" s="8" t="n">
        <v>0</v>
      </c>
      <c r="P17" s="5" t="inlineStr">
        <is>
          <t>Q2 2025 Earnings 23.07.2025</t>
        </is>
      </c>
      <c r="Q17" s="39" t="n">
        <v>46129</v>
      </c>
      <c r="R17" s="40">
        <f>TODAY()-Q17</f>
        <v/>
      </c>
      <c r="S17" s="4" t="inlineStr">
        <is>
          <t>[V+TC] DEFCON 2 seit 18.04. Schema-Alignment. FLAG aktiv (Score-basiert 63 + D2). Tariff-Check 15.04.: China Rev 14,7% &lt; 15%-Schwelle -&gt; kein Revenue-FLAG. Supply-Chain CN/MY Risk-Map aktiv. Sparrate 0€.</t>
        </is>
      </c>
    </row>
    <row r="18" ht="24.95" customHeight="1" s="30">
      <c r="B18" s="36" t="inlineStr">
        <is>
          <t>Sparrate-Check</t>
        </is>
      </c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8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30">
      <c r="B20" s="32" t="inlineStr">
        <is>
          <t>LEGENDE &amp; DATENQUALITÄT</t>
        </is>
      </c>
    </row>
    <row r="21" ht="13.5" customHeight="1" s="30">
      <c r="B21" s="26" t="inlineStr">
        <is>
          <t>✅ Fetched Live – GuruFocus term-pages 02.04.2026: Moat-Scores ASML(9) COST(8) VEEV(8) V(9) MSFT(9)</t>
        </is>
      </c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8" t="n"/>
    </row>
    <row r="22" ht="13.5" customHeight="1" s="30">
      <c r="B22" s="26" t="inlineStr">
        <is>
          <t>[KB] – Kalibrierungsanalyse: AVGO 86/100 (25.03.), TMO 65→67 (07.04.), ASML 68 (06.04.), MSFT 77→60 (08.04.), APH 61 (09.04.), RMS 71→69 (15.04. Re-Analyse), VEEV 74 (09.04.)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8" t="n"/>
    </row>
    <row r="23" ht="13.5" customHeight="1" s="30">
      <c r="B23" s="26" t="inlineStr">
        <is>
          <t>[~] – Schätzung Wissensbasis (plausibel) | [V] – Vollanalyse verifiziert | [TC] – Tariff-Check abgeschlossen 15.04.2026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8" t="n"/>
    </row>
    <row r="24" ht="13.5" customHeight="1" s="30">
      <c r="B24" s="26" t="inlineStr">
        <is>
          <t>🔴 EINGEFROREN: MSFT (FLAG CapEx/OCF &gt;60%, D2, Score 59) | APH (FLAG Score-basiert, D2 seit 18.04., Score 63) | AVGO (FLAG Insider-Selling 90d $106M+, D4 Score 84, ab 27.04.) — Sparrate 0€</t>
        </is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8" t="n"/>
    </row>
    <row r="25" ht="15" customHeight="1" s="30">
      <c r="B25" s="26" t="inlineStr">
        <is>
          <t>🟢 Volle Rate 38,00€ (7 Positionen): ASML/COST/RMS/VEEV/SU/BRK.B/TMO D3  |  🟠 D2-Sockelbetrag 19,00€ (1): V  |  🔴 Eingefroren 0€ (3): MSFT, APH, AVGO  |  Nenner 7×1,0 + 1×0,5 + 3×0 = 7,5  |  Σ = 7×38,00 + 1×19,00 + 3×0 = 285,00€ ✓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8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6" dxfId="5" stopIfTrue="1">
      <formula>ISNUMBER(SEARCH("DEFCON 4",L7))</formula>
    </cfRule>
    <cfRule type="expression" priority="17" dxfId="7" stopIfTrue="1">
      <formula>ISNUMBER(SEARCH("DEFCON 3",L7))</formula>
    </cfRule>
    <cfRule type="expression" priority="18" dxfId="9" stopIfTrue="1">
      <formula>ISNUMBER(SEARCH("DEFCON 2",L7))</formula>
    </cfRule>
    <cfRule type="expression" priority="19" dxfId="10" stopIfTrue="1">
      <formula>ISNUMBER(SEARCH("DEFCON 1",L7))</formula>
    </cfRule>
  </conditionalFormatting>
  <conditionalFormatting sqref="M7:M17">
    <cfRule type="cellIs" priority="7" operator="lessThan" dxfId="0">
      <formula>0</formula>
    </cfRule>
    <cfRule type="cellIs" priority="8" operator="greaterThan" dxfId="13">
      <formula>0</formula>
    </cfRule>
    <cfRule type="cellIs" priority="9" operator="equal" dxfId="12">
      <formula>0</formula>
    </cfRule>
  </conditionalFormatting>
  <conditionalFormatting sqref="N7:N17">
    <cfRule type="expression" priority="20" dxfId="10" stopIfTrue="1">
      <formula>LEFT(N7,1)="🔴"</formula>
    </cfRule>
    <cfRule type="expression" priority="21" dxfId="10" stopIfTrue="1">
      <formula>ISNUMBER(SEARCH("FLAG",N7))</formula>
    </cfRule>
    <cfRule type="expression" priority="22" dxfId="9" stopIfTrue="1">
      <formula>LEFT(N7,1)="🟠"</formula>
    </cfRule>
    <cfRule type="expression" priority="23" dxfId="7" stopIfTrue="1">
      <formula>LEFT(N7,1)="🟡"</formula>
    </cfRule>
    <cfRule type="expression" priority="24" dxfId="7" stopIfTrue="1">
      <formula>ISNUMBER(SEARCH("DEFCON 3",N7))</formula>
    </cfRule>
    <cfRule type="expression" priority="25" dxfId="5" stopIfTrue="1">
      <formula>LEFT(N7,1)="🟢"</formula>
    </cfRule>
    <cfRule type="expression" priority="26" dxfId="5" stopIfTrue="1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3" customWidth="1" style="30" min="4" max="6"/>
    <col width="16" customWidth="1" style="30" min="7" max="9"/>
  </cols>
  <sheetData>
    <row r="1" ht="6" customHeight="1" s="30"/>
    <row r="2" ht="27.75" customHeight="1" s="30">
      <c r="B2" s="37" t="inlineStr">
        <is>
          <t>🦅  DYNASTIEDEPOT – QUICKSCREEN AMPEL  |  23.04.2026 (v3.7 post-TMO-Q1)</t>
        </is>
      </c>
    </row>
    <row r="3" ht="27" customHeight="1" s="30">
      <c r="B3" s="29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30"/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129.95" customHeight="1" s="30">
      <c r="B6" s="3" t="inlineStr">
        <is>
          <t>AVGO</t>
        </is>
      </c>
      <c r="C6" s="5" t="inlineStr">
        <is>
          <t>Broadcom</t>
        </is>
      </c>
      <c r="D6" s="19" t="inlineStr">
        <is>
          <t>🟢 ~22x</t>
        </is>
      </c>
      <c r="E6" s="19" t="inlineStr">
        <is>
          <t>🟢 ~65%</t>
        </is>
      </c>
      <c r="F6" s="19" t="inlineStr">
        <is>
          <t>🟢 Wide</t>
        </is>
      </c>
      <c r="G6" s="13" t="inlineStr">
        <is>
          <t>✅</t>
        </is>
      </c>
      <c r="H6" s="13" t="inlineStr">
        <is>
          <t>🟢 HALTEN</t>
        </is>
      </c>
      <c r="I6" s="20" t="inlineStr">
        <is>
          <t>Sparplan aktiv. Kalibrierungsanker.</t>
        </is>
      </c>
    </row>
    <row r="7" ht="129.95" customHeight="1" s="30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 D4→D3 Schema-Alignment 18.04. Volle Rate 35,63€.</t>
        </is>
      </c>
    </row>
    <row r="8" ht="129.95" customHeight="1" s="30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🟠 DEFCON 2 / ⏸ Sockelbetrag</t>
        </is>
      </c>
      <c r="I8" s="20" t="inlineStr">
        <is>
          <t>Score 63 (Forward 18.04., -23 vs Backfill). Technicals-Kollaps + ROIC GAAP &lt; WACC. Sockelbetrag 17,81€. Q2 28.04.</t>
        </is>
      </c>
    </row>
    <row r="9" ht="129.95" customHeight="1" s="30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Grenzfall. D4→D3 Schema-Alignment 18.04. Volle Rate 35,63€.</t>
        </is>
      </c>
    </row>
    <row r="10" ht="129.95" customHeight="1" s="30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 D4→D3 Schema-Alignment 18.04. Volle Rate 35,63€.</t>
        </is>
      </c>
    </row>
    <row r="11" ht="129.95" customHeight="1" s="30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2 seit 18.04. Schema-Alignment). FLAG aktiv (Score-basiert). Tariff-Check CN 14.7% Risk-Map. Sparrate 0€.</t>
        </is>
      </c>
    </row>
    <row r="12" ht="129.95" customHeight="1" s="30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(68, v3.7 +2). Moat 19/20 Wide. v3.7 Fix-1: Fwd P/E + P/FCF Subscore-Deckel. Volle Rate 33,53€.</t>
        </is>
      </c>
    </row>
    <row r="13" ht="129.95" customHeight="1" s="30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v3.7: Score 68 (D4→D3 Schema-Alignment 18.04.). Screener-Exception ROIC 24% &gt;&gt; WACC. Volle Rate 35,63€.</t>
        </is>
      </c>
    </row>
    <row r="14" ht="129.95" customHeight="1" s="30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v3.7: Score 74 (D4→D3 Schema-Alignment 18.04.). SaaS Wide Moat. Volle Rate 35,63€.</t>
        </is>
      </c>
    </row>
    <row r="15" ht="129.95" customHeight="1" s="30">
      <c r="B15" s="9" t="inlineStr">
        <is>
          <t>MSFT</t>
        </is>
      </c>
      <c r="C15" s="11" t="inlineStr">
        <is>
          <t>Microsoft</t>
        </is>
      </c>
      <c r="D15" s="22" t="inlineStr">
        <is>
          <t>🟡 ~35–38x</t>
        </is>
      </c>
      <c r="E15" s="19" t="inlineStr">
        <is>
          <t>🔴 ~7.5%</t>
        </is>
      </c>
      <c r="F15" s="19" t="inlineStr">
        <is>
          <t>🟢 Wide</t>
        </is>
      </c>
      <c r="G15" s="14" t="inlineStr">
        <is>
          <t>🔴 FLAG</t>
        </is>
      </c>
      <c r="H15" s="14" t="inlineStr">
        <is>
          <t>🔴 FLAG / DEFCON 2 / ⏸ EINFRIEREN</t>
        </is>
      </c>
      <c r="I15" s="21" t="inlineStr">
        <is>
          <t>Score 59 (↓1 v3.7). DEFCON 2. FLAG CapEx/OCF &gt;60% (bereinigt ~63%). ROIC 7.5% &lt; WACC. Re-Check 29.04.</t>
        </is>
      </c>
    </row>
    <row r="16" ht="129.95" customHeight="1" s="30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🟡 DEFCON 3 / ✅ VOLLRATE</t>
        </is>
      </c>
      <c r="I16" s="20" t="inlineStr">
        <is>
          <t>Score 67 (Q1 FY26 Beat+Raise 23.04.: Adj EPS $5,44 / Rev $11,01B / FCF $825M +121% YoY). D2→D3, Vollrate 33,53€. fcf_trend_neg Resolve (WC-Unwind bestätigt). Q2 ~Ende Juli.</t>
        </is>
      </c>
    </row>
    <row r="19" ht="15.75" customHeight="1" s="30">
      <c r="B19" s="38" t="inlineStr">
        <is>
          <t>LEGENDE</t>
        </is>
      </c>
      <c r="C19" s="27" t="n"/>
      <c r="D19" s="27" t="n"/>
      <c r="E19" s="27" t="n"/>
      <c r="F19" s="27" t="n"/>
      <c r="G19" s="27" t="n"/>
      <c r="H19" s="27" t="n"/>
      <c r="I19" s="28" t="n"/>
    </row>
    <row r="20" ht="13.5" customHeight="1" s="30">
      <c r="B20" s="26" t="inlineStr">
        <is>
          <t>🟢 HALTEN: Alle 3 Filter grün + kein FLAG → Sparplan aktiv</t>
        </is>
      </c>
      <c r="C20" s="27" t="n"/>
      <c r="D20" s="27" t="n"/>
      <c r="E20" s="27" t="n"/>
      <c r="F20" s="27" t="n"/>
      <c r="G20" s="27" t="n"/>
      <c r="H20" s="27" t="n"/>
      <c r="I20" s="28" t="n"/>
    </row>
    <row r="21" ht="13.5" customHeight="1" s="30">
      <c r="B21" s="26" t="inlineStr">
        <is>
          <t>🟡 PRÜFEN: Mind. 1 Filter gelb + kein FLAG → Halten, erhöhtes Monitoring</t>
        </is>
      </c>
      <c r="C21" s="27" t="n"/>
      <c r="D21" s="27" t="n"/>
      <c r="E21" s="27" t="n"/>
      <c r="F21" s="27" t="n"/>
      <c r="G21" s="27" t="n"/>
      <c r="H21" s="27" t="n"/>
      <c r="I21" s="28" t="n"/>
    </row>
    <row r="22" ht="13.5" customHeight="1" s="30">
      <c r="B22" s="26" t="inlineStr">
        <is>
          <t>🔴 EINGEFROREN: FLAG aktiv (MSFT, APH) → Sparrate = 0€, Re-Analyse Pflicht</t>
        </is>
      </c>
      <c r="C22" s="27" t="n"/>
      <c r="D22" s="27" t="n"/>
      <c r="E22" s="27" t="n"/>
      <c r="F22" s="27" t="n"/>
      <c r="G22" s="27" t="n"/>
      <c r="H22" s="27" t="n"/>
      <c r="I22" s="28" t="n"/>
    </row>
    <row r="23" ht="13.5" customHeight="1" s="30">
      <c r="B23" s="26" t="inlineStr">
        <is>
          <t>Exception-Logik: COST (GM strukturell ~13%), BRK.B (P/B statt P/FCF) → zählen als grün | Stand: 17.04.2026</t>
        </is>
      </c>
      <c r="C23" s="27" t="n"/>
      <c r="D23" s="27" t="n"/>
      <c r="E23" s="27" t="n"/>
      <c r="F23" s="27" t="n"/>
      <c r="G23" s="27" t="n"/>
      <c r="H23" s="27" t="n"/>
      <c r="I23" s="28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2026-04-02T15:20:51Z</dcterms:created>
  <dcterms:modified xmlns:dcterms="http://purl.org/dc/terms/" xmlns:xsi="http://www.w3.org/2001/XMLSchema-instance" xsi:type="dcterms:W3CDTF">2026-04-28T21:40:12Z</dcterms:modified>
  <cp:lastModifiedBy>Tobias Kowalski</cp:lastModifiedBy>
  <cp:revision>0</cp:revision>
</cp:coreProperties>
</file>