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name="Satelliten Monitor" sheetId="1" state="visible" r:id="rId1"/>
    <sheet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\€#,##0.00"/>
    <numFmt numFmtId="165" formatCode="yyyy\-mm\-dd\ h:mm:ss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2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Calibri"/>
      <charset val="1"/>
      <color rgb="FF444444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0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164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1" fillId="2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 indent="1"/>
    </xf>
    <xf numFmtId="0" fontId="9" fillId="3" borderId="1" applyAlignment="1" pivotButton="0" quotePrefix="0" xfId="0">
      <alignment horizontal="left" vertical="center" wrapText="1" indent="1"/>
    </xf>
    <xf numFmtId="0" fontId="2" fillId="2" borderId="0" applyAlignment="1" pivotButton="0" quotePrefix="0" xfId="0">
      <alignment horizontal="right" vertical="center" indent="1"/>
    </xf>
    <xf numFmtId="0" fontId="9" fillId="3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right" vertical="center"/>
    </xf>
  </cellXfs>
  <cellStyles count="1">
    <cellStyle name="Standard" xfId="0" builtinId="0"/>
  </cellStyles>
  <dxfs count="15"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b val="1"/>
        <sz val="9"/>
      </font>
      <fill>
        <patternFill>
          <bgColor rgb="FFE2EFDA"/>
        </patternFill>
      </fill>
    </dxf>
    <dxf>
      <font>
        <b val="1"/>
        <sz val="9"/>
      </font>
      <fill>
        <patternFill>
          <bgColor rgb="FFFFF2CC"/>
        </patternFill>
      </fill>
    </dxf>
    <dxf>
      <font>
        <b val="1"/>
        <color rgb="FFCC0000"/>
        <sz val="9"/>
      </font>
      <fill>
        <patternFill>
          <bgColor rgb="FFFFE0E0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EBF3FF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S25"/>
  <sheetViews>
    <sheetView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4" customWidth="1" style="30" min="4" max="4"/>
    <col width="12" customWidth="1" style="30" min="5" max="5"/>
    <col width="10" customWidth="1" style="30" min="6" max="6"/>
    <col width="11" customWidth="1" style="30" min="7" max="7"/>
    <col width="10" customWidth="1" style="30" min="8" max="8"/>
    <col width="13" customWidth="1" style="30" min="9" max="9"/>
    <col width="14" customWidth="1" style="30" min="10" max="10"/>
    <col width="8" customWidth="1" style="30" min="11" max="11"/>
    <col width="14" customWidth="1" style="30" min="12" max="12"/>
    <col width="8" customWidth="1" style="30" min="13" max="13"/>
    <col width="21.28515625" customWidth="1" style="30" min="14" max="14"/>
    <col width="10" customWidth="1" style="30" min="15" max="15"/>
    <col width="13" customWidth="1" style="30" min="16" max="16"/>
    <col width="11" customWidth="1" style="30" min="17" max="17"/>
    <col width="9" customWidth="1" style="30" min="18" max="18"/>
    <col width="48" customWidth="1" style="30" min="19" max="19"/>
  </cols>
  <sheetData>
    <row r="1" ht="6" customHeight="1" s="30"/>
    <row r="2" ht="27.75" customHeight="1" s="30">
      <c r="B2" s="37" t="inlineStr">
        <is>
          <t>🦅  DYNASTIEDEPOT – SATELLITEN MONITOR v2.0</t>
        </is>
      </c>
      <c r="O2" s="33" t="inlineStr">
        <is>
          <t>Stand: 18.04.2026  |  Broker: Scalable Capital  |  Slots: 11/11</t>
        </is>
      </c>
    </row>
    <row r="3" ht="27.75" customHeight="1" s="30">
      <c r="B3" s="31" t="inlineStr">
        <is>
          <t>Sparrate Satelliten: 285 €/Monat  |  D4/D3-Rate: 35,63€  |  D2-Sockelbetrag: 17,81€ (50%)  |  Nenner 8.0 (v3.7 + Schema-SKILL-Threshold-Alignment 18.04.)</t>
        </is>
      </c>
      <c r="E3" s="35" t="inlineStr">
        <is>
          <t>Vollanalysiert: 11 / 11 ✅  |  Geschätzt: 0 / 11</t>
        </is>
      </c>
      <c r="H3" s="35" t="inlineStr">
        <is>
          <t>Eingefroren: MSFT (🔴 FLAG CapEx/OCF, D2) | APH (🔴 FLAG Score-basiert, D2 seit 18.04.) — Sparrate 0€</t>
        </is>
      </c>
      <c r="K3" s="35" t="inlineStr">
        <is>
          <t>Ergebnis: 🟢 7 Voll  🟠 2 D2-Sockelbetrag (V, TMO)  🔴 2 Eingefroren (MSFT, APH)</t>
        </is>
      </c>
      <c r="N3" s="36" t="inlineStr">
        <is>
          <t>Quellen: Vollanalyse [V] | Kalibrierungsanalyse [KB] | Schätzung [~] | Tariff-Check [TC]</t>
        </is>
      </c>
    </row>
    <row r="4" ht="18" customHeight="1" s="30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30"/>
    <row r="7" ht="141.95" customHeight="1" s="30">
      <c r="B7" s="3" t="inlineStr">
        <is>
          <t>ASML</t>
        </is>
      </c>
      <c r="C7" s="4" t="inlineStr">
        <is>
          <t>ASML Holding NV</t>
        </is>
      </c>
      <c r="D7" s="5" t="inlineStr">
        <is>
          <t>Halbleiter-Equip</t>
        </is>
      </c>
      <c r="E7" s="6" t="inlineStr">
        <is>
          <t>~42–50x [~]</t>
        </is>
      </c>
      <c r="F7" s="6" t="inlineStr">
        <is>
          <t>~35% [~]</t>
        </is>
      </c>
      <c r="G7" s="6" t="inlineStr">
        <is>
          <t>~51% [~]</t>
        </is>
      </c>
      <c r="H7" s="6" t="inlineStr">
        <is>
          <t>~16% [~]</t>
        </is>
      </c>
      <c r="I7" s="5" t="inlineStr">
        <is>
          <t>9 / Wide ✅</t>
        </is>
      </c>
      <c r="J7" s="5" t="inlineStr">
        <is>
          <t>n.a.</t>
        </is>
      </c>
      <c r="K7" s="5" t="inlineStr">
        <is>
          <t>Nein</t>
        </is>
      </c>
      <c r="L7" s="5" t="inlineStr">
        <is>
          <t>68 / DEFCON 3</t>
        </is>
      </c>
      <c r="M7" s="5" t="inlineStr">
        <is>
          <t>+2</t>
        </is>
      </c>
      <c r="N7" s="7" t="inlineStr">
        <is>
          <t>🟡 DEFCON 3 / ✅ Volle Rate 33,53€ (D3=1.0 seit v3.4)</t>
        </is>
      </c>
      <c r="O7" s="8" t="n">
        <v>35.63</v>
      </c>
      <c r="P7" s="5" t="inlineStr">
        <is>
          <t>Q1 2026 Earnings 15.04.</t>
        </is>
      </c>
      <c r="Q7" s="24" t="inlineStr">
        <is>
          <t>17.04.2026</t>
        </is>
      </c>
      <c r="R7" s="5" t="n">
        <v>0</v>
      </c>
      <c r="S7" s="4" t="inlineStr">
        <is>
          <t>[V] DEFCON 3 (68/100). Moat 19/20 Wide Monopol, Fwd P/E 38x + P/FCF ~41x = Bewertungsprämie ohne Sicherheitsmarge. China-Revenue 14.7% → Kein Tariff-FLAG.  |  [LV 17.04.] v3.7 Live-Verify: Score 68 ±2 bestätigt (OpM 36,1% / Fwd P/E 39,52 + P/FCF 48x → beide Fix-1-Zweige hart 0). WATCH: Fwd P/E FY27 30,30 Grenzfall — bei &lt;30 nach Guidance Score +1-2 (D4-Upside).</t>
        </is>
      </c>
    </row>
    <row r="8" ht="141.95" customHeight="1" s="30">
      <c r="B8" s="9" t="inlineStr">
        <is>
          <t>AVGO</t>
        </is>
      </c>
      <c r="C8" s="10" t="inlineStr">
        <is>
          <t>Broadcom Inc.</t>
        </is>
      </c>
      <c r="D8" s="11" t="inlineStr">
        <is>
          <t>Halbleiter/SW</t>
        </is>
      </c>
      <c r="E8" s="12" t="inlineStr">
        <is>
          <t>~22x [KB]</t>
        </is>
      </c>
      <c r="F8" s="12" t="inlineStr">
        <is>
          <t>~65% [KB]</t>
        </is>
      </c>
      <c r="G8" s="12" t="inlineStr">
        <is>
          <t>~68% [KB]</t>
        </is>
      </c>
      <c r="H8" s="12" t="inlineStr">
        <is>
          <t>~21% [KB]</t>
        </is>
      </c>
      <c r="I8" s="11" t="inlineStr">
        <is>
          <t>Wide [KB]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84 / DEFCON 4</t>
        </is>
      </c>
      <c r="M8" s="11" t="inlineStr">
        <is>
          <t>-2</t>
        </is>
      </c>
      <c r="N8" s="13" t="inlineStr">
        <is>
          <t>⚠️ Insider-Check ausstehend (verm. Post-Vesting) | Sparplan läuft</t>
        </is>
      </c>
      <c r="O8" s="8" t="n">
        <v>35.63</v>
      </c>
      <c r="P8" s="11" t="inlineStr">
        <is>
          <t>Q3 FY26 Earnings Jun 2026</t>
        </is>
      </c>
      <c r="Q8" s="25" t="inlineStr">
        <is>
          <t>17.04.2026</t>
        </is>
      </c>
      <c r="R8" s="11" t="n">
        <v>0</v>
      </c>
      <c r="S8" s="10" t="inlineStr">
        <is>
          <t>[KB] Kalibrierungsanker 86/100. Fabless CapEx/OCF &lt;15%. AI-Backlog 3B. Insider-FLAG: 23M vermutl. Post-Vesting — OpenInsider-Check vor FLAG-Aktivierung Pflicht.</t>
        </is>
      </c>
    </row>
    <row r="9" ht="141.95" customHeight="1" s="30">
      <c r="B9" s="3" t="inlineStr">
        <is>
          <t>MSFT</t>
        </is>
      </c>
      <c r="C9" s="4" t="inlineStr">
        <is>
          <t>Microsoft Corp.</t>
        </is>
      </c>
      <c r="D9" s="5" t="inlineStr">
        <is>
          <t>Software/Cloud</t>
        </is>
      </c>
      <c r="E9" s="6" t="inlineStr">
        <is>
          <t>~38x [~]</t>
        </is>
      </c>
      <c r="F9" s="6" t="inlineStr">
        <is>
          <t>~7.5% [V]</t>
        </is>
      </c>
      <c r="G9" s="6" t="inlineStr">
        <is>
          <t>~70% [KB]</t>
        </is>
      </c>
      <c r="H9" s="6" t="inlineStr">
        <is>
          <t>~13% [~]</t>
        </is>
      </c>
      <c r="I9" s="5" t="inlineStr">
        <is>
          <t>9 / Wide ✅</t>
        </is>
      </c>
      <c r="J9" s="5" t="inlineStr">
        <is>
          <t>n.a.</t>
        </is>
      </c>
      <c r="K9" s="5" t="inlineStr">
        <is>
          <t>Nein</t>
        </is>
      </c>
      <c r="L9" s="5" t="inlineStr">
        <is>
          <t>59 / DEFCON 2</t>
        </is>
      </c>
      <c r="M9" s="5" t="inlineStr">
        <is>
          <t>-1</t>
        </is>
      </c>
      <c r="N9" s="14" t="inlineStr">
        <is>
          <t>🔴 FLAG: CapEx/OCF &gt;60% | DEFCON 2 (59) | ⏸ Einfrieren</t>
        </is>
      </c>
      <c r="O9" s="15" t="n">
        <v>0</v>
      </c>
      <c r="P9" s="5" t="inlineStr">
        <is>
          <t>29.04.2026 Q3 FY26 Earnings</t>
        </is>
      </c>
      <c r="Q9" s="24" t="inlineStr">
        <is>
          <t>17.04.2026</t>
        </is>
      </c>
      <c r="R9" s="5" t="n">
        <v>0</v>
      </c>
      <c r="S9" s="4" t="inlineStr">
        <is>
          <t>[V] Re-Analyse 08.04.: Score 77→60 (−17). CapEx/OCF Q2 FY26 83.6% (bereinigt ~63%). ROIC 7.5% &lt; WACC 13.35%. FLAG aktiv. Re-Check 29.04.: bereinigtes CapEx/OCF &lt;60% = FLAG-Auflösung möglich.</t>
        </is>
      </c>
    </row>
    <row r="10" ht="141.95" customHeight="1" s="30">
      <c r="B10" s="9" t="inlineStr">
        <is>
          <t>COST</t>
        </is>
      </c>
      <c r="C10" s="10" t="inlineStr">
        <is>
          <t>Costco Wholesale</t>
        </is>
      </c>
      <c r="D10" s="11" t="inlineStr">
        <is>
          <t>Einzelhandel</t>
        </is>
      </c>
      <c r="E10" s="12" t="inlineStr">
        <is>
          <t>~50–55x [~]</t>
        </is>
      </c>
      <c r="F10" s="12" t="inlineStr">
        <is>
          <t>~30% [~]</t>
        </is>
      </c>
      <c r="G10" s="12" t="inlineStr">
        <is>
          <t>~13% ✅</t>
        </is>
      </c>
      <c r="H10" s="12" t="inlineStr">
        <is>
          <t>~10% [~]</t>
        </is>
      </c>
      <c r="I10" s="11" t="inlineStr">
        <is>
          <t>8 / Wide ✅</t>
        </is>
      </c>
      <c r="J10" s="11" t="inlineStr">
        <is>
          <t>Exception (GM)</t>
        </is>
      </c>
      <c r="K10" s="11" t="inlineStr">
        <is>
          <t>Ja</t>
        </is>
      </c>
      <c r="L10" s="11" t="inlineStr">
        <is>
          <t>69 / DEFCON 3</t>
        </is>
      </c>
      <c r="M10" s="11" t="inlineStr">
        <is>
          <t>0</t>
        </is>
      </c>
      <c r="N10" s="13" t="inlineStr">
        <is>
          <t>🟢 Halten | D4→D3 Schema-Alignment 18.04. | Screener-Exception Membership Yield 15.2% &gt; WACC</t>
        </is>
      </c>
      <c r="O10" s="8" t="n">
        <v>35.63</v>
      </c>
      <c r="P10" s="11" t="inlineStr">
        <is>
          <t>28.05.2026</t>
        </is>
      </c>
      <c r="Q10" s="25" t="inlineStr">
        <is>
          <t>17.04.2026</t>
        </is>
      </c>
      <c r="R10" s="11" t="n">
        <v>0</v>
      </c>
      <c r="S10" s="10" t="inlineStr">
        <is>
          <t>[~] Exception: GM ~13% strukturell (Membership-Fee). P/FCF &gt; 45x Exception aktiv. !Analysiere ausstehend.</t>
        </is>
      </c>
    </row>
    <row r="11" ht="141.75" customHeight="1" s="30">
      <c r="B11" s="3" t="inlineStr">
        <is>
          <t>RMS</t>
        </is>
      </c>
      <c r="C11" s="4" t="inlineStr">
        <is>
          <t>Hermès Intl. (EUR)</t>
        </is>
      </c>
      <c r="D11" s="5" t="inlineStr">
        <is>
          <t>Luxus</t>
        </is>
      </c>
      <c r="E11" s="6" t="inlineStr">
        <is>
          <t>~38x [V]</t>
        </is>
      </c>
      <c r="F11" s="6" t="inlineStr">
        <is>
          <t>~22% [V]</t>
        </is>
      </c>
      <c r="G11" s="6" t="inlineStr">
        <is>
          <t>~70% [V]</t>
        </is>
      </c>
      <c r="H11" s="6" t="inlineStr">
        <is>
          <t>~13% [~]</t>
        </is>
      </c>
      <c r="I11" s="5" t="inlineStr">
        <is>
          <t>Wide [~]</t>
        </is>
      </c>
      <c r="J11" s="5" t="inlineStr">
        <is>
          <t>n.a.</t>
        </is>
      </c>
      <c r="K11" s="5" t="inlineStr">
        <is>
          <t>Nein</t>
        </is>
      </c>
      <c r="L11" s="5" t="inlineStr">
        <is>
          <t>68 / DEFCON 3</t>
        </is>
      </c>
      <c r="M11" s="5" t="inlineStr">
        <is>
          <t>-1</t>
        </is>
      </c>
      <c r="N11" s="7" t="inlineStr">
        <is>
          <t>🟢 Halten | D4→D3 Schema-Alignment 18.04. | Screener-Exception ROIC 24% &gt;&gt; WACC</t>
        </is>
      </c>
      <c r="O11" s="8" t="n">
        <v>35.63</v>
      </c>
      <c r="P11" s="5" t="inlineStr">
        <is>
          <t>H1 2026 Report Juli/Aug 2026</t>
        </is>
      </c>
      <c r="Q11" s="24" t="inlineStr">
        <is>
          <t>17.04.2026</t>
        </is>
      </c>
      <c r="R11" s="5" t="n">
        <v>0</v>
      </c>
      <c r="S11" s="4" t="inlineStr">
        <is>
          <t>[V] Re-Analyse 15.04.2026: Score 71→69 (−2). Q1 2026: €4.07B (+6% CER, −1% reported). Miss vs. +7–8% Konsens. Kursreaktion −8.4% (€1.783→€1.632,50). 52W-Tief €1.529 intraday. Treiber: Mittlerer Osten −6% (Iran-Krieg, UAE Malls −40%), FX-Headwind €290M, China +2%. Positiv: Leder +9%, ROIC 24%&gt;&gt;WACC 6.5%, Insider Buy +€7.67M (AMF). Kein FLAG. Sparplan voll aktiv. Nächster Check: H1 2026 Report.  |  [LV 17.04.] v3.7 Live-Verify: Score 68 ±2 bestätigt (OpM 41,05% / Fwd P/E 34,91 + P/FCF 38x → beide Fix-1-Zweige hart 0). D4 durch Screener-Exception (ROIC 24% &gt;&gt; WACC +17,5pp) geschützt. Nach −8,4% Kursdrop Fwd P/E von 39→34,9.</t>
        </is>
      </c>
    </row>
    <row r="12" ht="141.95" customHeight="1" s="30">
      <c r="B12" s="9" t="inlineStr">
        <is>
          <t>VEEV</t>
        </is>
      </c>
      <c r="C12" s="10" t="inlineStr">
        <is>
          <t>Veeva Systems</t>
        </is>
      </c>
      <c r="D12" s="11" t="inlineStr">
        <is>
          <t>Healthcare-SW</t>
        </is>
      </c>
      <c r="E12" s="12" t="inlineStr">
        <is>
          <t>~45x [V]</t>
        </is>
      </c>
      <c r="F12" s="12" t="inlineStr">
        <is>
          <t>~25% [V]</t>
        </is>
      </c>
      <c r="G12" s="12" t="inlineStr">
        <is>
          <t>~74% [V]</t>
        </is>
      </c>
      <c r="H12" s="12" t="inlineStr">
        <is>
          <t>~17% [~]</t>
        </is>
      </c>
      <c r="I12" s="11" t="inlineStr">
        <is>
          <t>8 / Wide ✅</t>
        </is>
      </c>
      <c r="J12" s="11" t="inlineStr">
        <is>
          <t>n.a.</t>
        </is>
      </c>
      <c r="K12" s="11" t="inlineStr">
        <is>
          <t>Nein</t>
        </is>
      </c>
      <c r="L12" s="11" t="inlineStr">
        <is>
          <t>74 / DEFCON 3</t>
        </is>
      </c>
      <c r="M12" s="11" t="inlineStr">
        <is>
          <t>0</t>
        </is>
      </c>
      <c r="N12" s="7" t="inlineStr">
        <is>
          <t>🟢 Halten | D4→D3 Schema-Alignment 18.04.</t>
        </is>
      </c>
      <c r="O12" s="8" t="n">
        <v>35.63</v>
      </c>
      <c r="P12" s="11" t="inlineStr">
        <is>
          <t>21.05.2026 Q1 FY27</t>
        </is>
      </c>
      <c r="Q12" s="25" t="inlineStr">
        <is>
          <t>17.04.2026</t>
        </is>
      </c>
      <c r="R12" s="11" t="n">
        <v>0</v>
      </c>
      <c r="S12" s="10" t="inlineStr">
        <is>
          <t>[V] DEFCON 4 (74/100). Asset-light SaaS. Moat Wide (Switching Costs Life-Science). CapEx/OCF &lt;10%. Sparplan voll aktiv.</t>
        </is>
      </c>
    </row>
    <row r="13" ht="141.95" customHeight="1" s="30">
      <c r="B13" s="3" t="inlineStr">
        <is>
          <t>SU</t>
        </is>
      </c>
      <c r="C13" s="4" t="inlineStr">
        <is>
          <t>Schneider Electric (EUR)</t>
        </is>
      </c>
      <c r="D13" s="5" t="inlineStr">
        <is>
          <t>Industrials</t>
        </is>
      </c>
      <c r="E13" s="6" t="inlineStr">
        <is>
          <t>~20–25x [~]</t>
        </is>
      </c>
      <c r="F13" s="6" t="inlineStr">
        <is>
          <t>~12% [~]</t>
        </is>
      </c>
      <c r="G13" s="6" t="inlineStr">
        <is>
          <t>~40% [~]</t>
        </is>
      </c>
      <c r="H13" s="6" t="inlineStr">
        <is>
          <t>~11% [~]</t>
        </is>
      </c>
      <c r="I13" s="5" t="inlineStr">
        <is>
          <t>Wide [~]</t>
        </is>
      </c>
      <c r="J13" s="5" t="inlineStr">
        <is>
          <t>n.a.</t>
        </is>
      </c>
      <c r="K13" s="5" t="inlineStr">
        <is>
          <t>Nein</t>
        </is>
      </c>
      <c r="L13" s="5" t="inlineStr">
        <is>
          <t>69 / DEFCON 3</t>
        </is>
      </c>
      <c r="M13" s="5" t="inlineStr">
        <is>
          <t>-2</t>
        </is>
      </c>
      <c r="N13" s="13" t="inlineStr">
        <is>
          <t>🟢 Halten | D4→D3 Schema-Alignment 18.04. | v3.7 Fix-3 Sell-Ratio</t>
        </is>
      </c>
      <c r="O13" s="8" t="n">
        <v>35.63</v>
      </c>
      <c r="P13" s="5" t="inlineStr">
        <is>
          <t>07.05.2026</t>
        </is>
      </c>
      <c r="Q13" s="24" t="inlineStr">
        <is>
          <t>17.04.2026</t>
        </is>
      </c>
      <c r="R13" s="5" t="n">
        <v>0</v>
      </c>
      <c r="S13" s="4" t="inlineStr">
        <is>
          <t>[~] EUR-denominiert. ROIC ~12% Grenzfall. Non-US IFRS. !Analysiere ausstehend. ADR: SBGSY.</t>
        </is>
      </c>
    </row>
    <row r="14" ht="141.95" customHeight="1" s="30">
      <c r="B14" s="9" t="inlineStr">
        <is>
          <t>BRK.B</t>
        </is>
      </c>
      <c r="C14" s="10" t="inlineStr">
        <is>
          <t>Berkshire Hathaway B</t>
        </is>
      </c>
      <c r="D14" s="11" t="inlineStr">
        <is>
          <t>Holding/Vers.</t>
        </is>
      </c>
      <c r="E14" s="12" t="inlineStr">
        <is>
          <t>Exception</t>
        </is>
      </c>
      <c r="F14" s="12" t="inlineStr">
        <is>
          <t>Exception</t>
        </is>
      </c>
      <c r="G14" s="12" t="inlineStr">
        <is>
          <t>n.a.*</t>
        </is>
      </c>
      <c r="H14" s="12" t="inlineStr">
        <is>
          <t>~8% [~]</t>
        </is>
      </c>
      <c r="I14" s="11" t="inlineStr">
        <is>
          <t>Wide [~]</t>
        </is>
      </c>
      <c r="J14" s="11" t="inlineStr">
        <is>
          <t>~1,5–1,6x P/B</t>
        </is>
      </c>
      <c r="K14" s="11" t="inlineStr">
        <is>
          <t>Ja</t>
        </is>
      </c>
      <c r="L14" s="11" t="inlineStr">
        <is>
          <t>75 / DEFCON 3</t>
        </is>
      </c>
      <c r="M14" s="11" t="inlineStr">
        <is>
          <t>0</t>
        </is>
      </c>
      <c r="N14" s="13" t="inlineStr">
        <is>
          <t>🟢 Halten | D4→D3 Schema-Alignment 18.04. | Insurance Exception (P/B 1.44x)</t>
        </is>
      </c>
      <c r="O14" s="8" t="n">
        <v>35.63</v>
      </c>
      <c r="P14" s="11" t="inlineStr">
        <is>
          <t>30.06.2026</t>
        </is>
      </c>
      <c r="Q14" s="25" t="inlineStr">
        <is>
          <t>17.04.2026</t>
        </is>
      </c>
      <c r="R14" s="11" t="n">
        <v>0</v>
      </c>
      <c r="S14" s="10" t="inlineStr">
        <is>
          <t>[~] Exception: P/B ~1.5–1.6x ✅ (&lt;1.5x = Kaufsignal Buffett). Float &gt;70B. Holding-Float-Logik aktiv.</t>
        </is>
      </c>
    </row>
    <row r="15" ht="141.95" customHeight="1" s="30">
      <c r="B15" s="3" t="inlineStr">
        <is>
          <t>V</t>
        </is>
      </c>
      <c r="C15" s="4" t="inlineStr">
        <is>
          <t>Visa Inc.</t>
        </is>
      </c>
      <c r="D15" s="5" t="inlineStr">
        <is>
          <t>Payments</t>
        </is>
      </c>
      <c r="E15" s="6" t="inlineStr">
        <is>
          <t>~28–32x [~]</t>
        </is>
      </c>
      <c r="F15" s="6" t="inlineStr">
        <is>
          <t>~45% [~]</t>
        </is>
      </c>
      <c r="G15" s="6" t="inlineStr">
        <is>
          <t>~80% [KB]</t>
        </is>
      </c>
      <c r="H15" s="6" t="inlineStr">
        <is>
          <t>~12% [~]</t>
        </is>
      </c>
      <c r="I15" s="5" t="inlineStr">
        <is>
          <t>9 / Wide ✅</t>
        </is>
      </c>
      <c r="J15" s="5" t="inlineStr">
        <is>
          <t>n.a.</t>
        </is>
      </c>
      <c r="K15" s="5" t="inlineStr">
        <is>
          <t>Nein</t>
        </is>
      </c>
      <c r="L15" s="5" t="inlineStr">
        <is>
          <t>63 / DEFCON 2</t>
        </is>
      </c>
      <c r="M15" s="5" t="n">
        <v>-23</v>
      </c>
      <c r="N15" s="13" t="inlineStr">
        <is>
          <t>🟠 DEFCON 2 / ⏸ Sockelbetrag 17,81€ | Forward 18.04. nach Advisor-Review (86→72→63)</t>
        </is>
      </c>
      <c r="O15" s="8" t="n">
        <v>17.81</v>
      </c>
      <c r="P15" s="5" t="inlineStr">
        <is>
          <t>22.07.2026</t>
        </is>
      </c>
      <c r="Q15" s="24" t="inlineStr">
        <is>
          <t>18.04.2026</t>
        </is>
      </c>
      <c r="R15" s="5" t="n">
        <v>0</v>
      </c>
      <c r="S15" s="4" t="inlineStr">
        <is>
          <t>[V 18.04.] Forward-Vollanalyse + Rescoring nach Advisor-Review: 86→72→63 (-23). Drei Sub-Score-Korrekturen: (1) Moat Pricing-Power-Bonus entfernt (Transcript nicht verifiziert), (2) Insider Ownership 2→1 (V &lt;1% Threshold strikt), (3) ROIC 8→1 (Regel-4-Gating greift nicht: GW/Assets 19,95% &lt;30%, GAAP 9,89% &lt; WACC 10,48%). Technicals-Kollaps (RelStärke -13,97pp vs SPY, Kurs -4,97% unter fallendem 200MA). Q2 FY26 28.04. entscheidet D2-Pfad.</t>
        </is>
      </c>
    </row>
    <row r="16" ht="141.95" customHeight="1" s="30">
      <c r="B16" s="9" t="inlineStr">
        <is>
          <t>TMO</t>
        </is>
      </c>
      <c r="C16" s="10" t="inlineStr">
        <is>
          <t>Thermo Fisher Sci.</t>
        </is>
      </c>
      <c r="D16" s="11" t="inlineStr">
        <is>
          <t>Life Sciences</t>
        </is>
      </c>
      <c r="E16" s="12" t="inlineStr">
        <is>
          <t>~29x [V]</t>
        </is>
      </c>
      <c r="F16" s="12" t="inlineStr">
        <is>
          <t>~9% [V]</t>
        </is>
      </c>
      <c r="G16" s="12" t="inlineStr">
        <is>
          <t>~45% [~]</t>
        </is>
      </c>
      <c r="H16" s="12" t="inlineStr">
        <is>
          <t>~4% [~]</t>
        </is>
      </c>
      <c r="I16" s="11" t="inlineStr">
        <is>
          <t>Wide [~]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64 / DEFCON 2</t>
        </is>
      </c>
      <c r="M16" s="11" t="n">
        <v>-3</v>
      </c>
      <c r="N16" s="7" t="inlineStr">
        <is>
          <t>🟠 DEFCON 2 / ⏸ Sockelbetrag 17,81€ | fcf_trend_neg Disclosure (Option B)</t>
        </is>
      </c>
      <c r="O16" s="15" t="n">
        <v>17.81</v>
      </c>
      <c r="P16" s="11" t="inlineStr">
        <is>
          <t>23.04.2026 Q1 Earnings</t>
        </is>
      </c>
      <c r="Q16" s="25" t="inlineStr">
        <is>
          <t>18.04.2026</t>
        </is>
      </c>
      <c r="R16" s="11" t="n">
        <v>0</v>
      </c>
      <c r="S16" s="10" t="inlineStr">
        <is>
          <t>[V 18.04.] Forward-Vollanalyse: Score 64 (Algebra 63 ±1 empirisch bestätigt). ROIC bereinigt 17,18% vs WACC 10,44% = +6,74pp (Regel-4-Gating greift: GW/Assets 44,74% ≥30%, IC bereinigt 43,430M). fcf_trend_neg schema-getriggert (FY25 FCF -13,4% YoY, CapEx +8,9%) aber NICHT aktiviert (Option B Advisor): WC-Delta -1,766M &gt; FCF-Delta -974M = WC-Noise; 4J-Plateau $6,9→6,9→7,3→6,3B; OpInc +5,1%. Q1 23.04. = Resolve-Gate.</t>
        </is>
      </c>
    </row>
    <row r="17" ht="141.95" customHeight="1" s="30">
      <c r="B17" s="3" t="inlineStr">
        <is>
          <t>APH</t>
        </is>
      </c>
      <c r="C17" s="4" t="inlineStr">
        <is>
          <t>Amphenol Corp.</t>
        </is>
      </c>
      <c r="D17" s="5" t="inlineStr">
        <is>
          <t>Steckverbinder</t>
        </is>
      </c>
      <c r="E17" s="6" t="inlineStr">
        <is>
          <t>~25–30x [~]</t>
        </is>
      </c>
      <c r="F17" s="6" t="inlineStr">
        <is>
          <t>~22% [~]</t>
        </is>
      </c>
      <c r="G17" s="6" t="inlineStr">
        <is>
          <t>~34% [~]</t>
        </is>
      </c>
      <c r="H17" s="6" t="inlineStr">
        <is>
          <t>~18% [~]</t>
        </is>
      </c>
      <c r="I17" s="5" t="inlineStr">
        <is>
          <t>Wide [~]</t>
        </is>
      </c>
      <c r="J17" s="5" t="inlineStr">
        <is>
          <t>n.a.</t>
        </is>
      </c>
      <c r="K17" s="5" t="inlineStr">
        <is>
          <t>Nein</t>
        </is>
      </c>
      <c r="L17" s="5" t="inlineStr">
        <is>
          <t>63 / DEFCON 2</t>
        </is>
      </c>
      <c r="M17" s="5" t="inlineStr">
        <is>
          <t>+2</t>
        </is>
      </c>
      <c r="N17" s="13" t="inlineStr">
        <is>
          <t>🔴 FLAG: Score 63 (DEFCON 2 seit 18.04.) | CN Revenue 14.7% Risk-Map [TC] | Sparrate 0€</t>
        </is>
      </c>
      <c r="O17" s="8" t="n">
        <v>0</v>
      </c>
      <c r="P17" s="5" t="inlineStr">
        <is>
          <t>Q2 2025 Earnings 23.07.2025</t>
        </is>
      </c>
      <c r="Q17" s="24" t="inlineStr">
        <is>
          <t>17.04.2026</t>
        </is>
      </c>
      <c r="R17" s="5" t="n">
        <v>0</v>
      </c>
      <c r="S17" s="4" t="inlineStr">
        <is>
          <t>[V+TC] DEFCON 3 (63/100). FLAG aktiv (Score-basiert). Tariff-Check 15.04.: China Revenue 14.7% &lt; 15%-Schwelle → kein Revenue-FLAG. Supply-Chain CN/MY bestätigt (CEO Q1 2025 Call). Risk-Map-Notiz aktiv.</t>
        </is>
      </c>
    </row>
    <row r="18" ht="24.95" customHeight="1" s="30">
      <c r="B18" s="38" t="inlineStr">
        <is>
          <t>Sparrate-Check</t>
        </is>
      </c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8" t="n"/>
      <c r="M18" s="16" t="inlineStr">
        <is>
          <t>Gesamt:</t>
        </is>
      </c>
      <c r="N18" s="17" t="inlineStr">
        <is>
          <t>→ muss = 285,00 €</t>
        </is>
      </c>
      <c r="O18" s="18">
        <f>SUM(O7:O17)</f>
        <v/>
      </c>
    </row>
    <row r="20" ht="15.75" customHeight="1" s="30">
      <c r="B20" s="34" t="inlineStr">
        <is>
          <t>LEGENDE &amp; DATENQUALITÄT</t>
        </is>
      </c>
    </row>
    <row r="21" ht="13.5" customHeight="1" s="30">
      <c r="B21" s="26" t="inlineStr">
        <is>
          <t>✅ Fetched Live – GuruFocus term-pages 02.04.2026: Moat-Scores ASML(9) COST(8) VEEV(8) V(9) MSFT(9)</t>
        </is>
      </c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8" t="n"/>
    </row>
    <row r="22" ht="13.5" customHeight="1" s="30">
      <c r="B22" s="26" t="inlineStr">
        <is>
          <t>[KB] – Kalibrierungsanalyse: AVGO 86/100 (25.03.), TMO 65→67 (07.04.), ASML 68 (06.04.), MSFT 77→60 (08.04.), APH 61 (09.04.), RMS 71→69 (15.04. Re-Analyse), VEEV 74 (09.04.)</t>
        </is>
      </c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8" t="n"/>
    </row>
    <row r="23" ht="13.5" customHeight="1" s="30">
      <c r="B23" s="26" t="inlineStr">
        <is>
          <t>[~] – Schätzung Wissensbasis (plausibel) | [V] – Vollanalyse verifiziert | [TC] – Tariff-Check abgeschlossen 15.04.2026</t>
        </is>
      </c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8" t="n"/>
    </row>
    <row r="24" ht="13.5" customHeight="1" s="30">
      <c r="B24" s="26" t="inlineStr">
        <is>
          <t>🔴 EINGEFROREN: MSFT (FLAG CapEx/OCF, D2, Score 59) | APH (FLAG Score-basiert, D2 seit 18.04., Score 63) — Sparrate 0€</t>
        </is>
      </c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8" t="n"/>
    </row>
    <row r="25" ht="15" customHeight="1" s="30">
      <c r="B25" s="26" t="inlineStr">
        <is>
          <t>🟢 Volle Rate 35,63€ (7 Positionen): ASML/COST/RMS/VEEV/SU/BRK.B D3, AVGO D4  |  🟠 D2-Sockelbetrag 17,81€ (2): V, TMO</t>
        </is>
      </c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8" t="n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priority="13" dxfId="2">
      <formula>ISNUMBER(SEARCH("DEFCON 4",L7))</formula>
    </cfRule>
    <cfRule type="expression" priority="14" dxfId="1">
      <formula>ISNUMBER(SEARCH("DEFCON 3",L7))</formula>
    </cfRule>
    <cfRule type="expression" priority="15" dxfId="12">
      <formula>ISNUMBER(SEARCH("DEFCON 2",L7))</formula>
    </cfRule>
    <cfRule type="expression" priority="16" dxfId="11">
      <formula>ISNUMBER(SEARCH("QS-OK",L7))</formula>
    </cfRule>
  </conditionalFormatting>
  <conditionalFormatting sqref="M7:M17">
    <cfRule type="cellIs" priority="7" operator="lessThan" dxfId="0">
      <formula>0</formula>
    </cfRule>
    <cfRule type="cellIs" priority="8" operator="greaterThan" dxfId="9">
      <formula>0</formula>
    </cfRule>
    <cfRule type="cellIs" priority="9" operator="equal" dxfId="8">
      <formula>0</formula>
    </cfRule>
  </conditionalFormatting>
  <conditionalFormatting sqref="N7:N17">
    <cfRule type="expression" priority="2" dxfId="7">
      <formula>ISNUMBER(SEARCH("FLAG",N7))</formula>
    </cfRule>
    <cfRule type="expression" priority="3" dxfId="6">
      <formula>ISNUMBER(SEARCH("DEFCON 3",N7))</formula>
    </cfRule>
    <cfRule type="expression" priority="4" dxfId="5">
      <formula>ISNUMBER(SEARCH("Halten",N7))</formula>
    </cfRule>
  </conditionalFormatting>
  <conditionalFormatting sqref="O7:O17">
    <cfRule type="cellIs" priority="5" operator="equal" dxfId="4">
      <formula>0</formula>
    </cfRule>
    <cfRule type="cellIs" priority="6" operator="greaterThan" dxfId="2">
      <formula>0</formula>
    </cfRule>
  </conditionalFormatting>
  <conditionalFormatting sqref="R7:R17">
    <cfRule type="cellIs" priority="10" operator="lessThanOrEqual" dxfId="2">
      <formula>30</formula>
    </cfRule>
    <cfRule type="cellIs" priority="11" operator="between" dxfId="1">
      <formula>31</formula>
      <formula>90</formula>
    </cfRule>
    <cfRule type="cellIs" priority="12" operator="greaterThan" dxfId="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B2:I23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3" sqref="L13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3" customWidth="1" style="30" min="4" max="6"/>
    <col width="16" customWidth="1" style="30" min="7" max="9"/>
  </cols>
  <sheetData>
    <row r="1" ht="6" customHeight="1" s="30"/>
    <row r="2" ht="27.75" customHeight="1" s="30">
      <c r="B2" s="29" t="inlineStr">
        <is>
          <t>🦅  DYNASTIEDEPOT – QUICKSCREEN AMPEL  |  18.04.2026 (v3.7 + Schema-Alignment)</t>
        </is>
      </c>
    </row>
    <row r="3" ht="27" customHeight="1" s="30">
      <c r="B3" s="31" t="inlineStr">
        <is>
          <t>Filter: P/FCF ≤35x 🟢 / ≤45x 🟡 / &gt;45x 🔴  |  ROIC ≥15% 🟢 / ≥12% 🟡 / &lt;12% 🔴  |  Moat Wide 🟢 / Narrow 🟡 / None 🔴  |  FLAG überschreibt immer → 🔴</t>
        </is>
      </c>
    </row>
    <row r="4" ht="6" customHeight="1" s="30"/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</row>
    <row r="6" ht="90" customHeight="1" s="30">
      <c r="B6" s="3" t="inlineStr">
        <is>
          <t>AVGO</t>
        </is>
      </c>
      <c r="C6" s="5" t="inlineStr">
        <is>
          <t>Broadcom</t>
        </is>
      </c>
      <c r="D6" s="19" t="inlineStr">
        <is>
          <t>🟢 ~22x</t>
        </is>
      </c>
      <c r="E6" s="19" t="inlineStr">
        <is>
          <t>🟢 ~65%</t>
        </is>
      </c>
      <c r="F6" s="19" t="inlineStr">
        <is>
          <t>🟢 Wide</t>
        </is>
      </c>
      <c r="G6" s="13" t="inlineStr">
        <is>
          <t>✅</t>
        </is>
      </c>
      <c r="H6" s="13" t="inlineStr">
        <is>
          <t>🟢 HALTEN</t>
        </is>
      </c>
      <c r="I6" s="20" t="inlineStr">
        <is>
          <t>Sparplan aktiv. Kalibrierungsanker.</t>
        </is>
      </c>
    </row>
    <row r="7" ht="90" customHeight="1" s="30">
      <c r="B7" s="9" t="inlineStr">
        <is>
          <t>COST</t>
        </is>
      </c>
      <c r="C7" s="11" t="inlineStr">
        <is>
          <t>Costco</t>
        </is>
      </c>
      <c r="D7" s="19" t="inlineStr">
        <is>
          <t>🟢 Exception</t>
        </is>
      </c>
      <c r="E7" s="19" t="inlineStr">
        <is>
          <t>🟢 ~30%</t>
        </is>
      </c>
      <c r="F7" s="19" t="inlineStr">
        <is>
          <t>🟢 Wide</t>
        </is>
      </c>
      <c r="G7" s="13" t="inlineStr">
        <is>
          <t>✅</t>
        </is>
      </c>
      <c r="H7" s="13" t="inlineStr">
        <is>
          <t>🟢 HALTEN</t>
        </is>
      </c>
      <c r="I7" s="21" t="inlineStr">
        <is>
          <t>Exception. Membership-Moat ✅. D4→D3 Schema-Alignment 18.04. Volle Rate 35,63€.</t>
        </is>
      </c>
    </row>
    <row r="8" ht="90" customHeight="1" s="30">
      <c r="B8" s="3" t="inlineStr">
        <is>
          <t>V</t>
        </is>
      </c>
      <c r="C8" s="5" t="inlineStr">
        <is>
          <t>Visa</t>
        </is>
      </c>
      <c r="D8" s="19" t="inlineStr">
        <is>
          <t>🟢 ~28–32x</t>
        </is>
      </c>
      <c r="E8" s="19" t="inlineStr">
        <is>
          <t>🟢 ~45%</t>
        </is>
      </c>
      <c r="F8" s="19" t="inlineStr">
        <is>
          <t>🟢 Wide</t>
        </is>
      </c>
      <c r="G8" s="13" t="inlineStr">
        <is>
          <t>✅</t>
        </is>
      </c>
      <c r="H8" s="13" t="inlineStr">
        <is>
          <t>🟠 DEFCON 2 / ⏸ Sockelbetrag</t>
        </is>
      </c>
      <c r="I8" s="20" t="inlineStr">
        <is>
          <t>Score 63 (Forward 18.04., -23 vs Backfill). Technicals-Kollaps + ROIC GAAP &lt; WACC. Sockelbetrag 17,81€. Q2 28.04.</t>
        </is>
      </c>
    </row>
    <row r="9" ht="90" customHeight="1" s="30">
      <c r="B9" s="9" t="inlineStr">
        <is>
          <t>SU</t>
        </is>
      </c>
      <c r="C9" s="11" t="inlineStr">
        <is>
          <t>Schneider Elec.</t>
        </is>
      </c>
      <c r="D9" s="19" t="inlineStr">
        <is>
          <t>🟢 ~20–25x</t>
        </is>
      </c>
      <c r="E9" s="22" t="inlineStr">
        <is>
          <t>🟡 ~12%</t>
        </is>
      </c>
      <c r="F9" s="19" t="inlineStr">
        <is>
          <t>🟢 Wide</t>
        </is>
      </c>
      <c r="G9" s="13" t="inlineStr">
        <is>
          <t>✅</t>
        </is>
      </c>
      <c r="H9" s="13" t="inlineStr">
        <is>
          <t>🟢 HALTEN</t>
        </is>
      </c>
      <c r="I9" s="21" t="inlineStr">
        <is>
          <t>ROIC Grenzfall. D4→D3 Schema-Alignment 18.04. Volle Rate 35,63€.</t>
        </is>
      </c>
    </row>
    <row r="10" ht="90" customHeight="1" s="30">
      <c r="B10" s="3" t="inlineStr">
        <is>
          <t>BRK.B</t>
        </is>
      </c>
      <c r="C10" s="5" t="inlineStr">
        <is>
          <t>Berkshire B</t>
        </is>
      </c>
      <c r="D10" s="19" t="inlineStr">
        <is>
          <t>🟢 Exception</t>
        </is>
      </c>
      <c r="E10" s="19" t="inlineStr">
        <is>
          <t>🟢 Exception</t>
        </is>
      </c>
      <c r="F10" s="19" t="inlineStr">
        <is>
          <t>🟢 Wide</t>
        </is>
      </c>
      <c r="G10" s="13" t="inlineStr">
        <is>
          <t>✅</t>
        </is>
      </c>
      <c r="H10" s="13" t="inlineStr">
        <is>
          <t>🟢 HALTEN</t>
        </is>
      </c>
      <c r="I10" s="20" t="inlineStr">
        <is>
          <t>Exception. P/B ~1,5–1,6x ✅. D4→D3 Schema-Alignment 18.04. Volle Rate 35,63€.</t>
        </is>
      </c>
    </row>
    <row r="11" ht="90" customHeight="1" s="30">
      <c r="B11" s="9" t="inlineStr">
        <is>
          <t>APH</t>
        </is>
      </c>
      <c r="C11" s="11" t="inlineStr">
        <is>
          <t>Amphenol</t>
        </is>
      </c>
      <c r="D11" s="19" t="inlineStr">
        <is>
          <t>🟢 ~25–30x</t>
        </is>
      </c>
      <c r="E11" s="19" t="inlineStr">
        <is>
          <t>🟢 ~22%</t>
        </is>
      </c>
      <c r="F11" s="19" t="inlineStr">
        <is>
          <t>🟢 Wide</t>
        </is>
      </c>
      <c r="G11" s="13" t="inlineStr">
        <is>
          <t>🔴 FLAG (Score)</t>
        </is>
      </c>
      <c r="H11" s="13" t="inlineStr">
        <is>
          <t>🔴 FLAG / ⏸ EINGEFROREN</t>
        </is>
      </c>
      <c r="I11" s="21" t="inlineStr">
        <is>
          <t>Score 63 (DEFCON 2 seit 18.04. Schema-Alignment). FLAG aktiv (Score-basiert). Tariff-Check CN 14.7% Risk-Map. Sparrate 0€.</t>
        </is>
      </c>
    </row>
    <row r="12" ht="90" customHeight="1" s="30">
      <c r="B12" s="3" t="inlineStr">
        <is>
          <t>ASML</t>
        </is>
      </c>
      <c r="C12" s="5" t="inlineStr">
        <is>
          <t>ASML Holding</t>
        </is>
      </c>
      <c r="D12" s="22" t="inlineStr">
        <is>
          <t>🟡 ~42–50x</t>
        </is>
      </c>
      <c r="E12" s="19" t="inlineStr">
        <is>
          <t>🟢 ~35%</t>
        </is>
      </c>
      <c r="F12" s="19" t="inlineStr">
        <is>
          <t>🟢 Wide</t>
        </is>
      </c>
      <c r="G12" s="13" t="inlineStr">
        <is>
          <t>✅</t>
        </is>
      </c>
      <c r="H12" s="7" t="inlineStr">
        <is>
          <t>🟡 PRÜFEN</t>
        </is>
      </c>
      <c r="I12" s="20" t="inlineStr">
        <is>
          <t>DEFCON 3 (68, v3.7 +2). Moat 19/20 Wide. v3.7 Fix-1: Fwd P/E + P/FCF Subscore-Deckel. Volle Rate 33,53€.</t>
        </is>
      </c>
    </row>
    <row r="13" ht="90" customHeight="1" s="30">
      <c r="B13" s="9" t="inlineStr">
        <is>
          <t>RMS</t>
        </is>
      </c>
      <c r="C13" s="11" t="inlineStr">
        <is>
          <t>Hermès</t>
        </is>
      </c>
      <c r="D13" s="22" t="inlineStr">
        <is>
          <t>🟡 ~38x</t>
        </is>
      </c>
      <c r="E13" s="19" t="inlineStr">
        <is>
          <t>🟢 ~40%</t>
        </is>
      </c>
      <c r="F13" s="19" t="inlineStr">
        <is>
          <t>🟢 Wide</t>
        </is>
      </c>
      <c r="G13" s="13" t="inlineStr">
        <is>
          <t>✅</t>
        </is>
      </c>
      <c r="H13" s="7" t="inlineStr">
        <is>
          <t>🟢 HALTEN</t>
        </is>
      </c>
      <c r="I13" s="21" t="inlineStr">
        <is>
          <t>v3.7: Score 68 (D4→D3 Schema-Alignment 18.04.). Screener-Exception ROIC 24% &gt;&gt; WACC. Volle Rate 35,63€.</t>
        </is>
      </c>
    </row>
    <row r="14" ht="90" customHeight="1" s="30">
      <c r="B14" s="3" t="inlineStr">
        <is>
          <t>VEEV</t>
        </is>
      </c>
      <c r="C14" s="5" t="inlineStr">
        <is>
          <t>Veeva Systems</t>
        </is>
      </c>
      <c r="D14" s="22" t="inlineStr">
        <is>
          <t>🟡 ~45x</t>
        </is>
      </c>
      <c r="E14" s="22" t="inlineStr">
        <is>
          <t>🟡 ~18%</t>
        </is>
      </c>
      <c r="F14" s="19" t="inlineStr">
        <is>
          <t>🟢 Wide</t>
        </is>
      </c>
      <c r="G14" s="13" t="inlineStr">
        <is>
          <t>✅</t>
        </is>
      </c>
      <c r="H14" s="7" t="inlineStr">
        <is>
          <t>🟢 HALTEN</t>
        </is>
      </c>
      <c r="I14" s="20" t="inlineStr">
        <is>
          <t>v3.7: Score 74 (D4→D3 Schema-Alignment 18.04.). SaaS Wide Moat. Volle Rate 35,63€.</t>
        </is>
      </c>
    </row>
    <row r="15" ht="90" customHeight="1" s="30">
      <c r="B15" s="9" t="inlineStr">
        <is>
          <t>MSFT</t>
        </is>
      </c>
      <c r="C15" s="11" t="inlineStr">
        <is>
          <t>Microsoft</t>
        </is>
      </c>
      <c r="D15" s="22" t="inlineStr">
        <is>
          <t>🟡 ~35–38x</t>
        </is>
      </c>
      <c r="E15" s="19" t="inlineStr">
        <is>
          <t>🔴 ~7.5%</t>
        </is>
      </c>
      <c r="F15" s="19" t="inlineStr">
        <is>
          <t>🟢 Wide</t>
        </is>
      </c>
      <c r="G15" s="14" t="inlineStr">
        <is>
          <t>🔴 FLAG</t>
        </is>
      </c>
      <c r="H15" s="14" t="inlineStr">
        <is>
          <t>🔴 FLAG / DEFCON 2 / ⏸ EINFRIEREN</t>
        </is>
      </c>
      <c r="I15" s="21" t="inlineStr">
        <is>
          <t>Score 59 (↓1 v3.7). DEFCON 2. FLAG CapEx/OCF &gt;60% (bereinigt ~63%). ROIC 7.5% &lt; WACC. Re-Check 29.04.</t>
        </is>
      </c>
    </row>
    <row r="16" ht="90" customHeight="1" s="30">
      <c r="B16" s="3" t="inlineStr">
        <is>
          <t>TMO</t>
        </is>
      </c>
      <c r="C16" s="5" t="inlineStr">
        <is>
          <t>Thermo Fisher</t>
        </is>
      </c>
      <c r="D16" s="19" t="inlineStr">
        <is>
          <t>🟢 ~28x</t>
        </is>
      </c>
      <c r="E16" s="23" t="inlineStr">
        <is>
          <t>🔴 ~9%</t>
        </is>
      </c>
      <c r="F16" s="19" t="inlineStr">
        <is>
          <t>🟢 Wide</t>
        </is>
      </c>
      <c r="G16" s="13" t="inlineStr">
        <is>
          <t>✅</t>
        </is>
      </c>
      <c r="H16" s="14" t="inlineStr">
        <is>
          <t>🟠 DEFCON 2 / ⏸ D2-SOCKELBETRAG</t>
        </is>
      </c>
      <c r="I16" s="20" t="inlineStr">
        <is>
          <t>Score 64 (Forward 18.04., Algebra +1). ROIC bereinigt 17,2% (Regel-4). fcf_trend_neg struktureller Disclosure (Option B, WC-Noise). Sockelbetrag 17,81€. Q1 23.04.</t>
        </is>
      </c>
    </row>
    <row r="19" ht="15.75" customHeight="1" s="30">
      <c r="B19" s="32" t="inlineStr">
        <is>
          <t>LEGENDE</t>
        </is>
      </c>
      <c r="C19" s="27" t="n"/>
      <c r="D19" s="27" t="n"/>
      <c r="E19" s="27" t="n"/>
      <c r="F19" s="27" t="n"/>
      <c r="G19" s="27" t="n"/>
      <c r="H19" s="27" t="n"/>
      <c r="I19" s="28" t="n"/>
    </row>
    <row r="20" ht="13.5" customHeight="1" s="30">
      <c r="B20" s="26" t="inlineStr">
        <is>
          <t>🟢 HALTEN: Alle 3 Filter grün + kein FLAG → Sparplan aktiv</t>
        </is>
      </c>
      <c r="C20" s="27" t="n"/>
      <c r="D20" s="27" t="n"/>
      <c r="E20" s="27" t="n"/>
      <c r="F20" s="27" t="n"/>
      <c r="G20" s="27" t="n"/>
      <c r="H20" s="27" t="n"/>
      <c r="I20" s="28" t="n"/>
    </row>
    <row r="21" ht="13.5" customHeight="1" s="30">
      <c r="B21" s="26" t="inlineStr">
        <is>
          <t>🟡 PRÜFEN: Mind. 1 Filter gelb + kein FLAG → Halten, erhöhtes Monitoring</t>
        </is>
      </c>
      <c r="C21" s="27" t="n"/>
      <c r="D21" s="27" t="n"/>
      <c r="E21" s="27" t="n"/>
      <c r="F21" s="27" t="n"/>
      <c r="G21" s="27" t="n"/>
      <c r="H21" s="27" t="n"/>
      <c r="I21" s="28" t="n"/>
    </row>
    <row r="22" ht="13.5" customHeight="1" s="30">
      <c r="B22" s="26" t="inlineStr">
        <is>
          <t>🔴 EINGEFROREN: FLAG aktiv (MSFT, APH) → Sparrate = 0€, Re-Analyse Pflicht</t>
        </is>
      </c>
      <c r="C22" s="27" t="n"/>
      <c r="D22" s="27" t="n"/>
      <c r="E22" s="27" t="n"/>
      <c r="F22" s="27" t="n"/>
      <c r="G22" s="27" t="n"/>
      <c r="H22" s="27" t="n"/>
      <c r="I22" s="28" t="n"/>
    </row>
    <row r="23" ht="13.5" customHeight="1" s="30">
      <c r="B23" s="26" t="inlineStr">
        <is>
          <t>Exception-Logik: COST (GM strukturell ~13%), BRK.B (P/B statt P/FCF) → zählen als grün | Stand: 17.04.2026</t>
        </is>
      </c>
      <c r="C23" s="27" t="n"/>
      <c r="D23" s="27" t="n"/>
      <c r="E23" s="27" t="n"/>
      <c r="F23" s="27" t="n"/>
      <c r="G23" s="27" t="n"/>
      <c r="H23" s="27" t="n"/>
      <c r="I23" s="28" t="n"/>
    </row>
  </sheetData>
  <mergeCells count="7">
    <mergeCell ref="B21:I21"/>
    <mergeCell ref="B2:I2"/>
    <mergeCell ref="B20:I20"/>
    <mergeCell ref="B3:I3"/>
    <mergeCell ref="B22:I22"/>
    <mergeCell ref="B19:I19"/>
    <mergeCell ref="B23:I2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2026-04-02T15:20:51Z</dcterms:created>
  <dcterms:modified xsi:type="dcterms:W3CDTF">2026-04-18T16:09:48Z</dcterms:modified>
  <cp:lastModifiedBy>Tobias Kowalski</cp:lastModifiedBy>
  <cp:revision>0</cp:revision>
</cp:coreProperties>
</file>