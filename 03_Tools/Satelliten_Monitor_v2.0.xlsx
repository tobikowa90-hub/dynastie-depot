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€#,##0.00"/>
    <numFmt numFmtId="165" formatCode="yyyy\-mm\-dd\ h:mm:ss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23.04.2026  |  Broker: Scalable Capital  |  Slots: 11/11</t>
        </is>
      </c>
    </row>
    <row r="3" ht="57.95" customHeight="1" s="30">
      <c r="B3" s="29" t="inlineStr">
        <is>
          <t>Sparrate Satelliten: 285 €/Monat  |  D3/D4-Rate: 33,53€  |  D2-Sockelbetrag: 16,76€ (50%)  |  Nenner 8.5 (v3.7 post-TMO-Q1 23.04.)</t>
        </is>
      </c>
      <c r="E3" s="33" t="inlineStr">
        <is>
          <t>Vollanalysiert: 11 / 11 ✅  |  Geschätzt: 0 / 11</t>
        </is>
      </c>
      <c r="H3" s="33" t="inlineStr">
        <is>
          <t>Eingefroren: MSFT (🔴 FLAG CapEx/OCF, D2) | APH (🔴 FLAG Score-basiert, D2 seit 18.04.) — Sparrate 0€</t>
        </is>
      </c>
      <c r="K3" s="33" t="inlineStr">
        <is>
          <t>Ergebnis: 🟢 8 Voll  🟠 1 D2-Sockelbetrag (V)  🔴 2 Eingefroren (MSFT, APH)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33,53€ (D3=1.0, Nenner 8.5 post-TMO-Q1)</t>
        </is>
      </c>
      <c r="O7" s="8" t="n">
        <v>33.53</v>
      </c>
      <c r="P7" s="5" t="inlineStr">
        <is>
          <t>Q1 2026 Earnings 15.04.</t>
        </is>
      </c>
      <c r="Q7" s="24" t="inlineStr">
        <is>
          <t>17.04.2026</t>
        </is>
      </c>
      <c r="R7" s="5" t="n">
        <v>0</v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⚠️ Insider-Check ausstehend (verm. Post-Vesting) | Sparplan läuft</t>
        </is>
      </c>
      <c r="O8" s="8" t="n">
        <v>33.53</v>
      </c>
      <c r="P8" s="11" t="inlineStr">
        <is>
          <t>Q3 FY26 Earnings Jun 2026</t>
        </is>
      </c>
      <c r="Q8" s="25" t="inlineStr">
        <is>
          <t>17.04.2026</t>
        </is>
      </c>
      <c r="R8" s="11" t="n">
        <v>0</v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 v3.5-&gt;v3.7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24" t="inlineStr">
        <is>
          <t>17.04.2026</t>
        </is>
      </c>
      <c r="R9" s="5" t="n">
        <v>0</v>
      </c>
      <c r="S9" s="4" t="inlineStr">
        <is>
          <t>[V] Re-Analyse 08.04.: 77-&gt;60 (-17). CapEx/OCF Q2 FY26 83,6% (bereinigt ~63%). ROIC 7,5% &lt; WACC 13,35%. FLAG aktiv. Re-Check 29.04. Q3 FY26 —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33.53</v>
      </c>
      <c r="P10" s="11" t="inlineStr">
        <is>
          <t>28.05.2026</t>
        </is>
      </c>
      <c r="Q10" s="25" t="inlineStr">
        <is>
          <t>17.04.2026</t>
        </is>
      </c>
      <c r="R10" s="11" t="n">
        <v>0</v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33.53</v>
      </c>
      <c r="P11" s="5" t="inlineStr">
        <is>
          <t>H1 2026 Report Juli/Aug 2026</t>
        </is>
      </c>
      <c r="Q11" s="24" t="inlineStr">
        <is>
          <t>17.04.2026</t>
        </is>
      </c>
      <c r="R11" s="5" t="n">
        <v>0</v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33.53</v>
      </c>
      <c r="P12" s="11" t="inlineStr">
        <is>
          <t>21.05.2026 Q1 FY27</t>
        </is>
      </c>
      <c r="Q12" s="25" t="inlineStr">
        <is>
          <t>17.04.2026</t>
        </is>
      </c>
      <c r="R12" s="11" t="n">
        <v>0</v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33.53</v>
      </c>
      <c r="P13" s="5" t="inlineStr">
        <is>
          <t>07.05.2026</t>
        </is>
      </c>
      <c r="Q13" s="24" t="inlineStr">
        <is>
          <t>17.04.2026</t>
        </is>
      </c>
      <c r="R13" s="5" t="n">
        <v>0</v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33.53</v>
      </c>
      <c r="P14" s="11" t="inlineStr">
        <is>
          <t>30.06.2026</t>
        </is>
      </c>
      <c r="Q14" s="25" t="inlineStr">
        <is>
          <t>17.04.2026</t>
        </is>
      </c>
      <c r="R14" s="11" t="n">
        <v>0</v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63 / DEFCON 2</t>
        </is>
      </c>
      <c r="M15" s="5" t="inlineStr">
        <is>
          <t>-23 Backfill-&gt;Forward</t>
        </is>
      </c>
      <c r="N15" s="13" t="inlineStr">
        <is>
          <t>🟠 DEFCON 2 / ⏸ Sockelbetrag 16,76€ | Forward 18.04. nach Advisor-Review | Q2 FY26 28.04.</t>
        </is>
      </c>
      <c r="O15" s="8" t="n">
        <v>16.76</v>
      </c>
      <c r="P15" s="5" t="inlineStr">
        <is>
          <t>22.07.2026</t>
        </is>
      </c>
      <c r="Q15" s="24" t="inlineStr">
        <is>
          <t>18.04.2026</t>
        </is>
      </c>
      <c r="R15" s="5" t="n">
        <v>0</v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33,53€ | fcf_trend_neg Resolve (Q1 WC-Unwind) | Q2 ~Ende Juli</t>
        </is>
      </c>
      <c r="O16" s="15" t="n">
        <v>33.53</v>
      </c>
      <c r="P16" s="11" t="inlineStr">
        <is>
          <t>23.04.2026 Q1 Earnings</t>
        </is>
      </c>
      <c r="Q16" s="25" t="inlineStr">
        <is>
          <t>23.04.2026</t>
        </is>
      </c>
      <c r="R16" s="11" t="n">
        <v>0</v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2</t>
        </is>
      </c>
      <c r="M17" s="5" t="inlineStr">
        <is>
          <t>+2 v3.5-&gt;v3.7</t>
        </is>
      </c>
      <c r="N17" s="13" t="inlineStr">
        <is>
          <t>🔴 FLAG: Score 63 (DEFCON 2 seit 18.04.) | CN Revenue 14.7% Risk-Map [TC] | Sparrate 0€</t>
        </is>
      </c>
      <c r="O17" s="8" t="n">
        <v>0</v>
      </c>
      <c r="P17" s="5" t="inlineStr">
        <is>
          <t>Q2 2025 Earnings 23.07.2025</t>
        </is>
      </c>
      <c r="Q17" s="24" t="inlineStr">
        <is>
          <t>17.04.2026</t>
        </is>
      </c>
      <c r="R17" s="5" t="n">
        <v>0</v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CapEx/OCF, D2, Score 59) | APH (FLAG Score-basiert, D2 seit 18.04., Score 63)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35,63€ (7 Positionen): ASML/COST/RMS/VEEV/SU/BRK.B D3, AVGO D4  |  🟠 D2-Sockelbetrag 17,81€ (2): V, TMO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2026-04-23T19:22:17Z</dcterms:modified>
  <cp:lastModifiedBy>Tobias Kowalski</cp:lastModifiedBy>
  <cp:revision>0</cp:revision>
</cp:coreProperties>
</file>