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bia\OneDrive\Desktop\Claude Stuff\03_Tools\"/>
    </mc:Choice>
  </mc:AlternateContent>
  <xr:revisionPtr revIDLastSave="0" documentId="13_ncr:1_{A46DB98B-56C7-4D88-ABB4-AF50664FF99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ortfolio &amp; Rebalancing" sheetId="1" r:id="rId1"/>
    <sheet name="US-Exposure" sheetId="2" r:id="rId2"/>
    <sheet name="Parameter &amp; Regeln" sheetId="3" r:id="rId3"/>
  </sheets>
  <definedNames>
    <definedName name="_xlnm.Print_Area" localSheetId="0">'Portfolio &amp; Rebalancing'!$A$1:$R$31</definedName>
    <definedName name="_xlnm.Print_Titles" localSheetId="0">'Portfolio &amp; Rebalancing'!$4:$4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3" l="1"/>
  <c r="C52" i="3"/>
  <c r="C51" i="3"/>
  <c r="C50" i="3"/>
  <c r="C49" i="3"/>
  <c r="C48" i="3"/>
  <c r="C47" i="3"/>
  <c r="C46" i="3"/>
  <c r="C45" i="3"/>
  <c r="C44" i="3"/>
  <c r="C43" i="3"/>
  <c r="C42" i="3"/>
  <c r="C41" i="3"/>
  <c r="B26" i="3"/>
  <c r="B25" i="3"/>
  <c r="B16" i="3"/>
  <c r="B14" i="3"/>
  <c r="B13" i="3"/>
  <c r="B28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E7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O25" i="1"/>
  <c r="N25" i="1"/>
  <c r="H25" i="1"/>
  <c r="F25" i="1"/>
  <c r="Q24" i="1"/>
  <c r="H24" i="1"/>
  <c r="Q23" i="1"/>
  <c r="H23" i="1"/>
  <c r="Q22" i="1"/>
  <c r="H22" i="1"/>
  <c r="Q21" i="1"/>
  <c r="H21" i="1"/>
  <c r="Q20" i="1"/>
  <c r="H20" i="1"/>
  <c r="Q19" i="1"/>
  <c r="H19" i="1"/>
  <c r="Q18" i="1"/>
  <c r="H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P11" i="1"/>
  <c r="M11" i="1"/>
  <c r="H11" i="1"/>
  <c r="P10" i="1"/>
  <c r="M10" i="1"/>
  <c r="H10" i="1"/>
  <c r="Q9" i="1"/>
  <c r="P9" i="1"/>
  <c r="M9" i="1"/>
  <c r="H9" i="1"/>
  <c r="P8" i="1"/>
  <c r="M8" i="1"/>
  <c r="H8" i="1"/>
  <c r="P7" i="1"/>
  <c r="M7" i="1"/>
  <c r="H7" i="1"/>
  <c r="P6" i="1"/>
  <c r="M6" i="1"/>
  <c r="H6" i="1"/>
  <c r="P5" i="1"/>
  <c r="M5" i="1"/>
  <c r="H5" i="1"/>
  <c r="A2" i="1"/>
  <c r="C24" i="2" l="1"/>
  <c r="E23" i="2"/>
  <c r="E22" i="2"/>
  <c r="E21" i="2"/>
  <c r="E20" i="2"/>
  <c r="E19" i="2"/>
  <c r="E18" i="2"/>
  <c r="E17" i="2"/>
  <c r="E16" i="2"/>
  <c r="F29" i="1"/>
  <c r="E15" i="2"/>
  <c r="E14" i="2"/>
  <c r="E13" i="2"/>
  <c r="E12" i="2"/>
  <c r="E10" i="2"/>
  <c r="E9" i="2"/>
  <c r="E11" i="2"/>
  <c r="E8" i="2"/>
  <c r="E6" i="2"/>
  <c r="E5" i="2"/>
  <c r="E4" i="2"/>
  <c r="F30" i="1"/>
  <c r="F31" i="1" s="1"/>
  <c r="M26" i="1"/>
  <c r="P23" i="1"/>
  <c r="P22" i="1"/>
  <c r="P21" i="1"/>
  <c r="P20" i="1"/>
  <c r="P19" i="1"/>
  <c r="P18" i="1"/>
  <c r="P17" i="1"/>
  <c r="P16" i="1"/>
  <c r="P15" i="1"/>
  <c r="P14" i="1"/>
  <c r="P13" i="1"/>
  <c r="P12" i="1"/>
  <c r="P25" i="1" s="1"/>
  <c r="Q10" i="1"/>
  <c r="P24" i="1"/>
  <c r="Q8" i="1"/>
  <c r="Q7" i="1"/>
  <c r="Q6" i="1"/>
  <c r="Q5" i="1"/>
  <c r="I6" i="1" l="1"/>
  <c r="J6" i="1" s="1"/>
  <c r="R6" i="1" s="1"/>
  <c r="I15" i="1"/>
  <c r="J15" i="1" s="1"/>
  <c r="R15" i="1" s="1"/>
  <c r="I24" i="1"/>
  <c r="J24" i="1" s="1"/>
  <c r="I22" i="1"/>
  <c r="J22" i="1" s="1"/>
  <c r="R22" i="1" s="1"/>
  <c r="I21" i="1"/>
  <c r="J21" i="1" s="1"/>
  <c r="R21" i="1" s="1"/>
  <c r="I19" i="1"/>
  <c r="J19" i="1" s="1"/>
  <c r="R19" i="1" s="1"/>
  <c r="I17" i="1"/>
  <c r="J17" i="1" s="1"/>
  <c r="R17" i="1" s="1"/>
  <c r="I16" i="1"/>
  <c r="J16" i="1" s="1"/>
  <c r="R16" i="1" s="1"/>
  <c r="I14" i="1"/>
  <c r="J14" i="1" s="1"/>
  <c r="R14" i="1" s="1"/>
  <c r="I20" i="1"/>
  <c r="J20" i="1" s="1"/>
  <c r="R20" i="1" s="1"/>
  <c r="I13" i="1"/>
  <c r="J13" i="1" s="1"/>
  <c r="R13" i="1" s="1"/>
  <c r="I12" i="1"/>
  <c r="J12" i="1" s="1"/>
  <c r="R12" i="1" s="1"/>
  <c r="I8" i="1"/>
  <c r="J8" i="1" s="1"/>
  <c r="R8" i="1" s="1"/>
  <c r="I5" i="1"/>
  <c r="G5" i="1"/>
  <c r="G7" i="1"/>
  <c r="K7" i="1" s="1"/>
  <c r="L7" i="1" s="1"/>
  <c r="G8" i="1"/>
  <c r="K8" i="1" s="1"/>
  <c r="L8" i="1" s="1"/>
  <c r="G9" i="1"/>
  <c r="K9" i="1" s="1"/>
  <c r="L9" i="1" s="1"/>
  <c r="G18" i="1"/>
  <c r="G6" i="1"/>
  <c r="K6" i="1" s="1"/>
  <c r="L6" i="1" s="1"/>
  <c r="I9" i="1"/>
  <c r="J9" i="1" s="1"/>
  <c r="R9" i="1" s="1"/>
  <c r="G10" i="1"/>
  <c r="K10" i="1" s="1"/>
  <c r="L10" i="1" s="1"/>
  <c r="G11" i="1"/>
  <c r="K11" i="1" s="1"/>
  <c r="L11" i="1" s="1"/>
  <c r="G13" i="1"/>
  <c r="G20" i="1"/>
  <c r="G12" i="1"/>
  <c r="G14" i="1"/>
  <c r="G15" i="1"/>
  <c r="G16" i="1"/>
  <c r="G17" i="1"/>
  <c r="G19" i="1"/>
  <c r="G21" i="1"/>
  <c r="G22" i="1"/>
  <c r="G23" i="1"/>
  <c r="G24" i="1"/>
  <c r="E24" i="2"/>
  <c r="B26" i="2" s="1"/>
  <c r="B29" i="2" s="1"/>
  <c r="I23" i="1"/>
  <c r="J23" i="1" s="1"/>
  <c r="R23" i="1" s="1"/>
  <c r="I11" i="1"/>
  <c r="J11" i="1" s="1"/>
  <c r="R11" i="1" s="1"/>
  <c r="I10" i="1"/>
  <c r="J10" i="1" s="1"/>
  <c r="R10" i="1" s="1"/>
  <c r="I7" i="1"/>
  <c r="J7" i="1" s="1"/>
  <c r="R7" i="1" s="1"/>
  <c r="I18" i="1"/>
  <c r="J18" i="1" s="1"/>
  <c r="R18" i="1" s="1"/>
  <c r="J5" i="1" l="1"/>
  <c r="R24" i="1"/>
  <c r="K5" i="1"/>
  <c r="G25" i="1"/>
  <c r="K18" i="1"/>
  <c r="L18" i="1" s="1"/>
  <c r="M18" i="1"/>
  <c r="K13" i="1"/>
  <c r="L13" i="1" s="1"/>
  <c r="M13" i="1"/>
  <c r="K20" i="1"/>
  <c r="L20" i="1" s="1"/>
  <c r="M20" i="1"/>
  <c r="K12" i="1"/>
  <c r="L12" i="1" s="1"/>
  <c r="M12" i="1"/>
  <c r="K14" i="1"/>
  <c r="L14" i="1" s="1"/>
  <c r="M14" i="1"/>
  <c r="K15" i="1"/>
  <c r="L15" i="1" s="1"/>
  <c r="M15" i="1"/>
  <c r="K16" i="1"/>
  <c r="L16" i="1" s="1"/>
  <c r="M16" i="1"/>
  <c r="K17" i="1"/>
  <c r="L17" i="1" s="1"/>
  <c r="M17" i="1"/>
  <c r="K19" i="1"/>
  <c r="L19" i="1" s="1"/>
  <c r="M19" i="1"/>
  <c r="K21" i="1"/>
  <c r="L21" i="1" s="1"/>
  <c r="M21" i="1"/>
  <c r="K22" i="1"/>
  <c r="L22" i="1" s="1"/>
  <c r="M22" i="1"/>
  <c r="K23" i="1"/>
  <c r="L23" i="1" s="1"/>
  <c r="M23" i="1"/>
  <c r="M24" i="1"/>
  <c r="K24" i="1"/>
  <c r="L24" i="1" s="1"/>
  <c r="I25" i="1"/>
  <c r="B27" i="2"/>
  <c r="B30" i="2" s="1"/>
  <c r="R5" i="1" l="1"/>
  <c r="J25" i="1"/>
  <c r="M25" i="1"/>
  <c r="L5" i="1"/>
  <c r="K25" i="1" a="1"/>
  <c r="K25" i="1" s="1"/>
  <c r="K26" i="1" a="1"/>
  <c r="K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Tobias Kowalski</author>
  </authors>
  <commentList>
    <comment ref="F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Tobias Kowalski:
💱 FX: EUR-nativ (EUWAX Gold, Handel &amp; Abrechnung in EUR) — kein Währungsrisiko auf Depotwert-Ebene.</t>
        </r>
      </text>
    </comment>
    <comment ref="F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Tobias Kowalski:
💱 FX: EUR-gehandelt (Xetra). Underlying USD-dominiert — interne FX-Exposure über US-Faktor (Sp. E = 0,70) approximiert. Stichtag Depotwert: [eintragen].</t>
        </r>
      </text>
    </comment>
    <comment ref="F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Tobias Kowalski:
💱 FX: EUR-gehandelt (Xetra). Underlying EM-Währungen gemischt — interne FX-Exposure über US-Faktor (Sp. E = 0,00) approximiert. Stichtag Depotwert: [eintragen].</t>
        </r>
      </text>
    </comment>
    <comment ref="F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Tobias Kowalski:
💱 FX: EUR-gehandelt (Xetra). Underlying ex-US (EUR/JPY/GBP u.a.) — US-Faktor (Sp. E = 0,00). Stichtag Depotwert: [eintragen].</t>
        </r>
      </text>
    </comment>
    <comment ref="F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Tobias Kowalski:
💱 FX: EUR-gehandelt (Xetra). Underlying global gemischt — US-Faktor (Sp. E = 0,67). Stichtag Depotwert: [eintragen].</t>
        </r>
      </text>
    </comment>
    <comment ref="E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Tobias Kowalski:
US-Faktor geschätzt nach Fonds-Länderanteil (Top-Holdings Rocket Lab, Planet Labs, AST SpaceMobile – überwiegend US). Quelle: Fidelity/justETF Fondsprofil, ISIN IE000YU9K6K2, Stand 06/2026. Bei Bedarf feinjustieren.</t>
        </r>
      </text>
    </comment>
    <comment ref="F10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Tobias Kowalski:
💱 FX: EUR-gehandelt (Xetra). Underlying US-dominiert — US-Faktor (Sp. E = 0,62). Stichtag Depotwert: [eintragen].</t>
        </r>
      </text>
    </comment>
    <comment ref="E1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Tobias Kowalski:
US-Faktor geschätzt nach Fonds-Länderanteil (Quantum-Index überwiegend US: Rigetti, IonQ, D-Wave, IBM, QUBT). Quelle: WisdomTree/justETF Fondsprofil, ISIN IE000W8WMSL2, Stand 06/2026. Bei Bedarf feinjustieren.</t>
        </r>
      </text>
    </comment>
    <comment ref="F1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Tobias Kowalski:
💱 FX: EUR-gehandelt (Xetra). Underlying US-dominiert — US-Faktor (Sp. E = 0,68). Stichtag Depotwert: [eintragen].</t>
        </r>
      </text>
    </comment>
    <comment ref="F1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Tobias Kowalski:
💱 FX: Basiswährung USD (Amazon, NASDAQ). EUR-Depotwert währungsabhängig. USD/EUR-Kurs: [eintragen] · Stichtag: [eintragen] · Quelle: [eintragen].</t>
        </r>
      </text>
    </comment>
    <comment ref="F1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Tobias Kowalski:
💱 FX: Basiswährung USD (Amphenol, NYSE). EUR-Depotwert währungsabhängig. USD/EUR-Kurs: [eintragen] · Stichtag: [eintragen] · Quelle: [eintragen].</t>
        </r>
      </text>
    </comment>
    <comment ref="F14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Tobias Kowalski:
💱 FX: EUR-nativ (ASML, Euronext Amsterdam) — kein Währungsrisiko auf Depotwert-Ebene.</t>
        </r>
      </text>
    </comment>
    <comment ref="F15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Tobias Kowalski:
💱 FX: Basiswährung USD (Berkshire B, NYSE). EUR-Depotwert währungsabhängig. USD/EUR-Kurs: [eintragen] · Stichtag: [eintragen] · Quelle: [eintragen].</t>
        </r>
      </text>
    </comment>
    <comment ref="F16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Tobias Kowalski:
💱 FX: Basiswährung USD (Broadcom, NASDAQ). EUR-Depotwert währungsabhängig. USD/EUR-Kurs: [eintragen] · Stichtag: [eintragen] · Quelle: [eintragen].</t>
        </r>
      </text>
    </comment>
    <comment ref="E17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Tobias Kowalski:
US-Faktor 0 – Keyence Corp ist ein japanisches Unternehmen (OTC-ADR in USA, KYCCF/KYCCY). Kein US-Exposure.</t>
        </r>
      </text>
    </comment>
    <comment ref="F1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Tobias Kowalski:
💱 FX: EUR-nativ (Hermès, Euronext Paris) — kein Währungsrisiko auf Depotwert-Ebene.</t>
        </r>
      </text>
    </comment>
    <comment ref="F1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Tobias Kowalski:
💱 FX: Basiswährung JPY (Keyence, Tokio; KYCCF = US-OTC-ADR). EUR-Depotwert währungsabhängig. JPY/EUR-Kurs: [eintragen] · Stichtag: [eintragen] · Quelle: [eintragen].</t>
        </r>
      </text>
    </comment>
    <comment ref="F1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Tobias Kowalski:
💱 FX: Basiswährung USD (Microsoft, NASDAQ). EUR-Depotwert währungsabhängig. USD/EUR-Kurs: [eintragen] · Stichtag: [eintragen] · Quelle: [eintragen].</t>
        </r>
      </text>
    </comment>
    <comment ref="F2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Tobias Kowalski:
💱 FX: EUR-nativ (Schneider Electric, Euronext Paris) — kein Währungsrisiko auf Depotwert-Ebene.</t>
        </r>
      </text>
    </comment>
    <comment ref="F2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Tobias Kowalski:
💱 FX: Basiswährung USD (ServiceNow, NYSE). EUR-Depotwert währungsabhängig. USD/EUR-Kurs: [eintragen] · Stichtag: [eintragen] · Quelle: [eintragen].</t>
        </r>
      </text>
    </comment>
    <comment ref="F2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Tobias Kowalski:
💱 FX: Basiswährung USD (Thermo Fisher, NYSE). EUR-Depotwert währungsabhängig. USD/EUR-Kurs: [eintragen] · Stichtag: [eintragen] · Quelle: [eintragen].</t>
        </r>
      </text>
    </comment>
    <comment ref="F23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Tobias Kowalski:
💱 FX: Basiswährung USD (Visa, NYSE). EUR-Depotwert währungsabhängig. USD/EUR-Kurs: [eintragen] · Stichtag: [eintragen] · Quelle: [eintragen].</t>
        </r>
      </text>
    </comment>
    <comment ref="F24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Tobias Kowalski:
💱 FX: Basiswährung USD (Zeta Global, NYSE). EUR-Depotwert währungsabhängig. USD/EUR-Kurs: [eintragen] · Stichtag: [eintragen] · Quelle: [eintragen].</t>
        </r>
      </text>
    </comment>
  </commentList>
</comments>
</file>

<file path=xl/sharedStrings.xml><?xml version="1.0" encoding="utf-8"?>
<sst xmlns="http://schemas.openxmlformats.org/spreadsheetml/2006/main" count="249" uniqueCount="174">
  <si>
    <t>🦅 DYNASTIE-DEPOT – Rebalancing Tool v4.0</t>
  </si>
  <si>
    <t>Position</t>
  </si>
  <si>
    <t>Ticker</t>
  </si>
  <si>
    <t>Typ</t>
  </si>
  <si>
    <t>Broker</t>
  </si>
  <si>
    <t>US-
Faktor</t>
  </si>
  <si>
    <t>Depotwert
€</t>
  </si>
  <si>
    <t>Ist-
Anteil %</t>
  </si>
  <si>
    <t>Ziel-
Anteil %</t>
  </si>
  <si>
    <t>Zielwert
€</t>
  </si>
  <si>
    <t>Fehlbetrag
€</t>
  </si>
  <si>
    <t>Abw.
%</t>
  </si>
  <si>
    <t>Aktion</t>
  </si>
  <si>
    <t>⚠️ Cap-
Check</t>
  </si>
  <si>
    <t>DEFCON
Score</t>
  </si>
  <si>
    <t>🚩 FLAG-Status</t>
  </si>
  <si>
    <t>💶 Sparrate
€/Monat</t>
  </si>
  <si>
    <t>Gewicht</t>
  </si>
  <si>
    <t>🛒 Nachkauf-
Signal</t>
  </si>
  <si>
    <t>EUWAX Gold</t>
  </si>
  <si>
    <t>EWG2</t>
  </si>
  <si>
    <t>Gold</t>
  </si>
  <si>
    <t>Scalable</t>
  </si>
  <si>
    <t>iShares Core MSCI World</t>
  </si>
  <si>
    <t>IWDA</t>
  </si>
  <si>
    <t>ETF</t>
  </si>
  <si>
    <t>ING</t>
  </si>
  <si>
    <t>iShares Core MSCI EM IMI</t>
  </si>
  <si>
    <t>EIMI</t>
  </si>
  <si>
    <t>Xtrackers MSCI World ex USA</t>
  </si>
  <si>
    <t>EXUS</t>
  </si>
  <si>
    <t>Avantis Global Small Cap Value</t>
  </si>
  <si>
    <t>AVGC</t>
  </si>
  <si>
    <t>VanEck Space Innovators</t>
  </si>
  <si>
    <t>JEDI</t>
  </si>
  <si>
    <t>WisdomTree Quantum Computing</t>
  </si>
  <si>
    <t>WQTM</t>
  </si>
  <si>
    <t>Amazon.com</t>
  </si>
  <si>
    <t>AMZN</t>
  </si>
  <si>
    <t>Aktie</t>
  </si>
  <si>
    <t>DEFCON 1 (42)</t>
  </si>
  <si>
    <t>🔴 FLAG: CapEx/OCF TTM 99,2% (15.05.)</t>
  </si>
  <si>
    <t>Amphenol</t>
  </si>
  <si>
    <t>APH</t>
  </si>
  <si>
    <t>DEFCON 2 (61)</t>
  </si>
  <si>
    <t>🔴 FLAG: Score 61 (DEFCON 2, Q1 FY26 Tag-+1 Vollanalyse 30.04.) | CommScope-NL 1,6x | China-Tax-ETR 27% strukturell</t>
  </si>
  <si>
    <t>ASML Holding</t>
  </si>
  <si>
    <t>ASML</t>
  </si>
  <si>
    <t>DEFCON 3 (68)</t>
  </si>
  <si>
    <t>🟡 DEFCON 3 (68) | China Rev 14.7% Risk-Map</t>
  </si>
  <si>
    <t>Berkshire Hathaway</t>
  </si>
  <si>
    <t>BRK.B</t>
  </si>
  <si>
    <t>DEFCON 3 (71) | Abel Käufe $15.3M</t>
  </si>
  <si>
    <t>✅ Clean</t>
  </si>
  <si>
    <t>Broadcom</t>
  </si>
  <si>
    <t>AVGO</t>
  </si>
  <si>
    <t>DEFCON 2 (56) | Q2 04.06.</t>
  </si>
  <si>
    <t>🔴 FLAG: Insider-Selling 90d $106M+ | Aktiviert 27.04.2026 | Q2 FY26 Vollanalyse 04.06. Score 53→56 (D2, FLAG bleibt) | Re-Eval Q3 FY26 ~02.09.</t>
  </si>
  <si>
    <t>Hermès</t>
  </si>
  <si>
    <t>RMS</t>
  </si>
  <si>
    <t>DEFCON 3 (68) | Q1 Miss: −8.4% | Moat intakt</t>
  </si>
  <si>
    <t>✅ Clean | Re-Analyse 17.04.2026 v3.7</t>
  </si>
  <si>
    <t>Keyence</t>
  </si>
  <si>
    <t>KYCCF</t>
  </si>
  <si>
    <t>DEFCON 3 (67) | O3 13.06.</t>
  </si>
  <si>
    <t>Microsoft</t>
  </si>
  <si>
    <t>MSFT</t>
  </si>
  <si>
    <t>DEFCON 2 (50)</t>
  </si>
  <si>
    <t>🔴 FLAG: CapEx/OCF aktiv | Score 50 | DEFCON 2 | Bull-Case Trigger B FAIL (CY26 $190B) | Re-Check Q4 FY26 ~Juli</t>
  </si>
  <si>
    <t>Schneider Electric</t>
  </si>
  <si>
    <t>SU</t>
  </si>
  <si>
    <t>DEFCON 3 (69)</t>
  </si>
  <si>
    <t>ServiceNow</t>
  </si>
  <si>
    <t>NOW</t>
  </si>
  <si>
    <t>DEFCON 3 (–) | Neu 04.06.</t>
  </si>
  <si>
    <t>Thermo Fisher</t>
  </si>
  <si>
    <t>TMO</t>
  </si>
  <si>
    <t>DEFCON 3 (67)</t>
  </si>
  <si>
    <t>🟡 DEFCON 3 (67) | fcf_trend_neg Resolve (Q1 WC-Unwind bestätigt) | Q2 ~Ende Juli</t>
  </si>
  <si>
    <t>Visa</t>
  </si>
  <si>
    <t>V</t>
  </si>
  <si>
    <t>DEFCON 2 (64)</t>
  </si>
  <si>
    <t>🟠 DEFCON 2 (64) | Q2 Beat-Cascade D3 (mittags) → Codex-Review-Revert D2 (spätabends, HIGH-1+2 28.04.) | Q3 ~Ende Juli ROIC-Verify</t>
  </si>
  <si>
    <t>Zeta Global</t>
  </si>
  <si>
    <t>ZETA</t>
  </si>
  <si>
    <t>📊 GESAMT</t>
  </si>
  <si>
    <t>Ø Drift Aktien</t>
  </si>
  <si>
    <t>Ø ETF/Gold-Drift</t>
  </si>
  <si>
    <t>⚠️ DEFCON ≤ 3</t>
  </si>
  <si>
    <t>🚩 Aktive FLAGs</t>
  </si>
  <si>
    <t>Check: Sparrate gesamt</t>
  </si>
  <si>
    <t>Scalable Cash (verfügbar)</t>
  </si>
  <si>
    <t>📝 Neuinvestition (manuell eingeben)</t>
  </si>
  <si>
    <t>Gesamtwert nach Invest</t>
  </si>
  <si>
    <t>💸 ING-Überweisung (Sparplan)</t>
  </si>
  <si>
    <t>💰 Cash-Deckung Scalable-Anteil</t>
  </si>
  <si>
    <t>ℹ️ LEGENDE – Spalten-Logik</t>
  </si>
  <si>
    <t>💶 Sparrate (P)</t>
  </si>
  <si>
    <t>Automatischer Sparplan: ETF/Gold feste Raten, Aktien Tier-gewichtet (T1/T2/T3). FLAG/DEFCON überschreibt → 0 € bzw. 50% Sockel. Unabhängig vom Tageskurs.</t>
  </si>
  <si>
    <t>📉 Fehlbetrag (J)</t>
  </si>
  <si>
    <t>Rebalancing-Signal: Ist vs. Ziel-Portfolio. Steuert NICHT den Sparplan, sondern dient manuellen Eingriffen (Einmalkäufe, Umschichtungen mit extra Cash).</t>
  </si>
  <si>
    <t>🛒 Nachkauf-Signal (R)</t>
  </si>
  <si>
    <t>Schlägt an, wenn Fehlbetrag &gt; Schwelle (Parameter B64, akt. 300 €): 🛒 Nachkaufen = stark unter Ziel · ⏸️ Über Ziel = ggf. pausieren · 🚩 FLAG (gesperrt) = unter Ziel, aber FLAG verhindert Nachkauf.</t>
  </si>
  <si>
    <t xml:space="preserve"> US-EXPOSURE TRACKER</t>
  </si>
  <si>
    <t>Depotwert €</t>
  </si>
  <si>
    <t>US-Faktor</t>
  </si>
  <si>
    <t>US-Anteil €</t>
  </si>
  <si>
    <t>US-Anteil (Ist)</t>
  </si>
  <si>
    <t>US-Anteil (Ziel)</t>
  </si>
  <si>
    <t>US-Hard-Cap</t>
  </si>
  <si>
    <t>Status (Ist)</t>
  </si>
  <si>
    <t>Status (Ziel)</t>
  </si>
  <si>
    <t>⚙️ REBALANCING PARAMETER</t>
  </si>
  <si>
    <t>Parameter</t>
  </si>
  <si>
    <t>Wert</t>
  </si>
  <si>
    <t>Einheit</t>
  </si>
  <si>
    <t>Sparrate monatlich</t>
  </si>
  <si>
    <t>€</t>
  </si>
  <si>
    <t>ETF-Core Zielanteil</t>
  </si>
  <si>
    <t>%</t>
  </si>
  <si>
    <t>Satelliten Zielanteil</t>
  </si>
  <si>
    <t>Gold Zielanteil</t>
  </si>
  <si>
    <t>Drift-Toleranz ETF/Gold</t>
  </si>
  <si>
    <t>Drift-Toleranz Aktien</t>
  </si>
  <si>
    <t>Single-Stock-Cap</t>
  </si>
  <si>
    <t>Max Aktien Slots</t>
  </si>
  <si>
    <t>Aktien-Slots belegt</t>
  </si>
  <si>
    <t>Gesamt Positionen belegt</t>
  </si>
  <si>
    <t>Drift-Warnschwelle (Faktor × Toleranz → K rot)</t>
  </si>
  <si>
    <t>×</t>
  </si>
  <si>
    <t>Allokations-Check (Summe ETF+Sat+Gold)</t>
  </si>
  <si>
    <t>📋 REBALANCING-REGELN</t>
  </si>
  <si>
    <t>Situation</t>
  </si>
  <si>
    <t>Bedeutung</t>
  </si>
  <si>
    <t>Abweichung negativ (rot)</t>
  </si>
  <si>
    <t>Untergewicht</t>
  </si>
  <si>
    <t>📈 Sparrate erhöhen/starten</t>
  </si>
  <si>
    <t>Abweichung positiv (gelb)</t>
  </si>
  <si>
    <t>Übergewicht</t>
  </si>
  <si>
    <t>📉 Sparrate stoppen/drosseln</t>
  </si>
  <si>
    <t>Innerhalb Toleranz (grün)</t>
  </si>
  <si>
    <t>Gleichgewicht</t>
  </si>
  <si>
    <t>⚖️ Sparrate weiterführen</t>
  </si>
  <si>
    <t>NIEMALS durch Verkauf rebalancen</t>
  </si>
  <si>
    <t>Steuer-Bremse</t>
  </si>
  <si>
    <t>Nur Sparplan umleiten</t>
  </si>
  <si>
    <t>Satelliten-Budget / Monat</t>
  </si>
  <si>
    <t>Aktive Aktien (DEFCON 3+, kein 🔴 FLAG)</t>
  </si>
  <si>
    <t>DEFCON-2-Sockelbetrag (% der vollen Rate)</t>
  </si>
  <si>
    <t>📋 DEFCON-SPARRATEN-LOGIK</t>
  </si>
  <si>
    <t>DEFCON 4 oder 3 (kein 🔴 FLAG)</t>
  </si>
  <si>
    <t>Volle Sparrate (Gewicht 1.0)</t>
  </si>
  <si>
    <t>Budget ÷ Σ Gewichte × 1.0</t>
  </si>
  <si>
    <t>DEFCON 2 (kein 🔴 FLAG)</t>
  </si>
  <si>
    <t>50% Sockelbetrag (Gewicht 0.5)</t>
  </si>
  <si>
    <t>Budget ÷ Σ Gewichte × 0.5 — Position halten</t>
  </si>
  <si>
    <t>DEFCON 1 (egal welcher FLAG)</t>
  </si>
  <si>
    <t>0 € – eingefroren</t>
  </si>
  <si>
    <t>Exit-Kandidat — Auswechslung prüfen</t>
  </si>
  <si>
    <t>🔴 FLAG (egal welcher DEFCON)</t>
  </si>
  <si>
    <t>🔴 FLAG überschreibt jeden Score</t>
  </si>
  <si>
    <t>🎯 TIER-SYSTEM (Satelliten-Gewichtung)</t>
  </si>
  <si>
    <t>Tier 1 – Gewicht/SOLL-Rate</t>
  </si>
  <si>
    <t>AMZN · MSFT · NOW · AVGO</t>
  </si>
  <si>
    <t>Tier 2 – Gewicht/SOLL-Rate</t>
  </si>
  <si>
    <t>V · KYCCF · ASML</t>
  </si>
  <si>
    <t>Tier 3 – Gewicht/SOLL-Rate</t>
  </si>
  <si>
    <t>RMS · BRK.B · TMO · APH · SU · ZETA</t>
  </si>
  <si>
    <t>🎯 TIER-ZUORDNUNG (Ticker → Tier-Faktor)</t>
  </si>
  <si>
    <t>Tier</t>
  </si>
  <si>
    <t>Faktor</t>
  </si>
  <si>
    <t>💶 FESTE SPARRATEN ETF/GOLD (€/Monat)</t>
  </si>
  <si>
    <t>📌 REBALANCING-SIGNAL (manuell)</t>
  </si>
  <si>
    <t>Schwelle Fehlbetrag für Nachkauf-Signal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</si>
</sst>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€&quot;"/>
    <numFmt numFmtId="165" formatCode="#,##0.00&quot; €&quot;"/>
    <numFmt numFmtId="166" formatCode="0&quot; Positionen&quot;"/>
  </numFmts>
  <fonts count="33" x14ac:knownFonts="1">
    <font>
      <sz val="11"/>
      <color theme="1"/>
      <name val="Calibri"/>
      <family val="2"/>
      <scheme val="minor"/>
    </font>
    <font>
      <b/>
      <sz val="15"/>
      <color rgb="FF1F3864"/>
      <name val="Calibri"/>
    </font>
    <font>
      <sz val="9"/>
      <color rgb="FF666666"/>
      <name val="Calibri"/>
    </font>
    <font>
      <b/>
      <sz val="9"/>
      <color rgb="FFFFFFFF"/>
      <name val="Calibri"/>
    </font>
    <font>
      <sz val="9.5"/>
      <color rgb="FF000000"/>
      <name val="Calibri"/>
    </font>
    <font>
      <b/>
      <sz val="9.5"/>
      <color rgb="FF1F3864"/>
      <name val="Calibri"/>
    </font>
    <font>
      <sz val="9"/>
      <color rgb="FF4472C4"/>
      <name val="Calibri"/>
    </font>
    <font>
      <b/>
      <sz val="9.5"/>
      <color rgb="FF2E4057"/>
      <name val="Calibri"/>
    </font>
    <font>
      <b/>
      <sz val="10"/>
      <name val="Calibri"/>
    </font>
    <font>
      <b/>
      <sz val="9.5"/>
      <color rgb="FFC00000"/>
      <name val="Calibri"/>
    </font>
    <font>
      <b/>
      <sz val="14"/>
      <color rgb="FF1E3A5F"/>
      <name val="Calibri"/>
    </font>
    <font>
      <b/>
      <sz val="10"/>
      <color rgb="FFFFFFFF"/>
      <name val="Calibri"/>
    </font>
    <font>
      <sz val="10"/>
      <name val="Calibri"/>
    </font>
    <font>
      <b/>
      <sz val="11"/>
      <name val="Calibri"/>
    </font>
    <font>
      <sz val="10"/>
      <color rgb="FF0000FF"/>
      <name val="Calibri"/>
    </font>
    <font>
      <b/>
      <sz val="12"/>
      <color rgb="FF1E3A5F"/>
      <name val="Calibri"/>
    </font>
    <font>
      <sz val="11"/>
      <color rgb="FF000000"/>
      <name val="Calibri"/>
    </font>
    <font>
      <sz val="11"/>
      <name val="Calibri"/>
    </font>
    <font>
      <b/>
      <sz val="9.5"/>
      <color rgb="FF000000"/>
      <name val="Calibri"/>
    </font>
    <font>
      <sz val="9.5"/>
      <color theme="1"/>
      <name val="Calibri"/>
      <family val="2"/>
      <scheme val="minor"/>
    </font>
    <font>
      <sz val="9.5"/>
      <color rgb="FF2E4057"/>
      <name val="Calibri"/>
      <family val="2"/>
      <scheme val="minor"/>
    </font>
    <font>
      <sz val="9.5"/>
      <color rgb="FF1F3864"/>
      <name val="Calibri"/>
      <family val="2"/>
      <scheme val="minor"/>
    </font>
    <font>
      <sz val="9.5"/>
      <color rgb="FF843C0C"/>
      <name val="Calibri"/>
    </font>
    <font>
      <sz val="9.5"/>
      <color rgb="FF9C0006"/>
      <name val="Calibri"/>
    </font>
    <font>
      <sz val="9.5"/>
      <color rgb="FF276221"/>
      <name val="Calibri"/>
    </font>
    <font>
      <sz val="11"/>
      <color rgb="FF0000FF"/>
      <name val="Calibri"/>
      <family val="2"/>
      <scheme val="minor"/>
    </font>
    <font>
      <b/>
      <sz val="9.5"/>
      <color rgb="FF0000FF"/>
      <name val="Calibri"/>
      <scheme val="minor"/>
    </font>
    <font>
      <b/>
      <sz val="9"/>
      <color rgb="FFFFFFFF"/>
      <name val="Calibri"/>
      <scheme val="minor"/>
    </font>
    <font>
      <b/>
      <sz val="10"/>
      <color rgb="FFFFFFFF"/>
      <name val="Calibri"/>
      <scheme val="minor"/>
    </font>
    <font>
      <sz val="9.5"/>
      <color rgb="FF7F6000"/>
      <name val="Calibri"/>
    </font>
    <font>
      <b/>
      <sz val="9"/>
      <color rgb="FF1F3864"/>
      <name val="Calibri"/>
      <scheme val="minor"/>
    </font>
    <font>
      <sz val="9"/>
      <color rgb="FF333333"/>
      <name val="Calibri"/>
      <scheme val="minor"/>
    </font>
    <font>
      <sz val="9"/>
      <color theme="1"/>
      <name val="Calibri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EBF3FB"/>
      </patternFill>
    </fill>
    <fill>
      <patternFill patternType="solid">
        <fgColor rgb="FF1F3864"/>
      </patternFill>
    </fill>
    <fill>
      <patternFill patternType="solid">
        <fgColor rgb="FFFFF8E7"/>
      </patternFill>
    </fill>
    <fill>
      <patternFill patternType="solid">
        <fgColor rgb="FFF0F9F0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8FBFF"/>
      </patternFill>
    </fill>
    <fill>
      <patternFill patternType="solid">
        <fgColor rgb="FFFFFF00"/>
      </patternFill>
    </fill>
    <fill>
      <patternFill patternType="solid">
        <fgColor rgb="FF1E3A5F"/>
      </patternFill>
    </fill>
    <fill>
      <patternFill patternType="solid">
        <fgColor rgb="FF2E75B6"/>
      </patternFill>
    </fill>
    <fill>
      <patternFill patternType="solid">
        <fgColor rgb="FF1F3864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0F9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F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2" fontId="4" fillId="5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10" fontId="4" fillId="5" borderId="0" xfId="0" applyNumberFormat="1" applyFont="1" applyFill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2" fontId="4" fillId="6" borderId="0" xfId="0" applyNumberFormat="1" applyFont="1" applyFill="1" applyAlignment="1">
      <alignment horizontal="right" vertical="center"/>
    </xf>
    <xf numFmtId="164" fontId="4" fillId="6" borderId="0" xfId="0" applyNumberFormat="1" applyFont="1" applyFill="1" applyAlignment="1">
      <alignment horizontal="right" vertical="center"/>
    </xf>
    <xf numFmtId="10" fontId="4" fillId="6" borderId="0" xfId="0" applyNumberFormat="1" applyFont="1" applyFill="1" applyAlignment="1">
      <alignment horizontal="right" vertical="center"/>
    </xf>
    <xf numFmtId="164" fontId="4" fillId="6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5" fillId="8" borderId="0" xfId="0" applyFont="1" applyFill="1"/>
    <xf numFmtId="164" fontId="5" fillId="8" borderId="0" xfId="0" applyNumberFormat="1" applyFont="1" applyFill="1" applyAlignment="1">
      <alignment horizontal="right" vertical="center"/>
    </xf>
    <xf numFmtId="10" fontId="5" fillId="8" borderId="0" xfId="0" applyNumberFormat="1" applyFont="1" applyFill="1" applyAlignment="1">
      <alignment horizontal="right" vertical="center"/>
    </xf>
    <xf numFmtId="164" fontId="5" fillId="8" borderId="0" xfId="0" applyNumberFormat="1" applyFont="1" applyFill="1" applyAlignment="1">
      <alignment horizontal="center" vertical="center"/>
    </xf>
    <xf numFmtId="1" fontId="5" fillId="8" borderId="0" xfId="0" applyNumberFormat="1" applyFont="1" applyFill="1" applyAlignment="1">
      <alignment horizontal="center" vertical="center"/>
    </xf>
    <xf numFmtId="10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right" vertical="center"/>
    </xf>
    <xf numFmtId="0" fontId="7" fillId="9" borderId="0" xfId="0" applyFont="1" applyFill="1" applyAlignment="1">
      <alignment horizontal="left" vertical="center"/>
    </xf>
    <xf numFmtId="164" fontId="4" fillId="9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left" vertical="center"/>
    </xf>
    <xf numFmtId="164" fontId="8" fillId="10" borderId="0" xfId="0" applyNumberFormat="1" applyFont="1" applyFill="1" applyAlignment="1">
      <alignment horizontal="right" vertical="center"/>
    </xf>
    <xf numFmtId="164" fontId="5" fillId="9" borderId="0" xfId="0" applyNumberFormat="1" applyFont="1" applyFill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10" fillId="0" borderId="0" xfId="0" applyFont="1"/>
    <xf numFmtId="0" fontId="11" fillId="11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right" vertical="center"/>
    </xf>
    <xf numFmtId="2" fontId="12" fillId="0" borderId="0" xfId="0" applyNumberFormat="1" applyFont="1" applyAlignment="1">
      <alignment horizontal="right" vertical="center"/>
    </xf>
    <xf numFmtId="0" fontId="8" fillId="0" borderId="0" xfId="0" applyFont="1"/>
    <xf numFmtId="165" fontId="13" fillId="0" borderId="0" xfId="0" applyNumberFormat="1" applyFont="1"/>
    <xf numFmtId="10" fontId="8" fillId="0" borderId="0" xfId="0" applyNumberFormat="1" applyFont="1"/>
    <xf numFmtId="9" fontId="14" fillId="0" borderId="0" xfId="0" applyNumberFormat="1" applyFont="1"/>
    <xf numFmtId="16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5" fillId="0" borderId="0" xfId="0" applyFont="1"/>
    <xf numFmtId="0" fontId="11" fillId="12" borderId="0" xfId="0" applyFont="1" applyFill="1" applyAlignment="1">
      <alignment horizontal="center" vertical="center"/>
    </xf>
    <xf numFmtId="0" fontId="13" fillId="0" borderId="0" xfId="0" applyFont="1"/>
    <xf numFmtId="0" fontId="17" fillId="0" borderId="0" xfId="0" applyFont="1" applyAlignment="1">
      <alignment horizontal="center"/>
    </xf>
    <xf numFmtId="0" fontId="4" fillId="0" borderId="0" xfId="0" applyFont="1"/>
    <xf numFmtId="0" fontId="11" fillId="12" borderId="0" xfId="0" applyFont="1" applyFill="1"/>
    <xf numFmtId="0" fontId="18" fillId="0" borderId="0" xfId="0" applyFont="1"/>
    <xf numFmtId="0" fontId="4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166" fontId="16" fillId="0" borderId="0" xfId="0" applyNumberFormat="1" applyFont="1" applyAlignment="1">
      <alignment horizontal="center"/>
    </xf>
    <xf numFmtId="0" fontId="3" fillId="13" borderId="0" xfId="0" applyFont="1" applyFill="1" applyAlignment="1">
      <alignment horizontal="center" vertical="center" wrapText="1"/>
    </xf>
    <xf numFmtId="2" fontId="19" fillId="14" borderId="0" xfId="0" applyNumberFormat="1" applyFont="1" applyFill="1" applyAlignment="1">
      <alignment horizontal="right"/>
    </xf>
    <xf numFmtId="0" fontId="4" fillId="17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center" vertical="center"/>
    </xf>
    <xf numFmtId="2" fontId="4" fillId="17" borderId="0" xfId="0" applyNumberFormat="1" applyFont="1" applyFill="1" applyAlignment="1">
      <alignment horizontal="right" vertical="center"/>
    </xf>
    <xf numFmtId="164" fontId="4" fillId="17" borderId="0" xfId="0" applyNumberFormat="1" applyFont="1" applyFill="1" applyAlignment="1">
      <alignment horizontal="right" vertical="center"/>
    </xf>
    <xf numFmtId="10" fontId="4" fillId="17" borderId="0" xfId="0" applyNumberFormat="1" applyFont="1" applyFill="1" applyAlignment="1">
      <alignment horizontal="right" vertical="center"/>
    </xf>
    <xf numFmtId="164" fontId="4" fillId="16" borderId="0" xfId="0" applyNumberFormat="1" applyFont="1" applyFill="1" applyAlignment="1">
      <alignment horizontal="right" vertical="center"/>
    </xf>
    <xf numFmtId="164" fontId="4" fillId="14" borderId="0" xfId="0" applyNumberFormat="1" applyFont="1" applyFill="1" applyAlignment="1">
      <alignment horizontal="right" vertical="center"/>
    </xf>
    <xf numFmtId="0" fontId="20" fillId="18" borderId="0" xfId="0" applyFont="1" applyFill="1" applyAlignment="1">
      <alignment horizontal="left"/>
    </xf>
    <xf numFmtId="9" fontId="21" fillId="18" borderId="0" xfId="0" applyNumberFormat="1" applyFont="1" applyFill="1" applyAlignment="1">
      <alignment horizontal="right"/>
    </xf>
    <xf numFmtId="0" fontId="11" fillId="19" borderId="0" xfId="0" applyFont="1" applyFill="1"/>
    <xf numFmtId="164" fontId="26" fillId="0" borderId="0" xfId="0" applyNumberFormat="1" applyFont="1" applyAlignment="1">
      <alignment horizontal="center"/>
    </xf>
    <xf numFmtId="0" fontId="3" fillId="20" borderId="0" xfId="0" applyFont="1" applyFill="1" applyAlignment="1">
      <alignment horizontal="center"/>
    </xf>
    <xf numFmtId="0" fontId="27" fillId="20" borderId="0" xfId="0" applyFont="1" applyFill="1" applyAlignment="1">
      <alignment horizontal="center"/>
    </xf>
    <xf numFmtId="0" fontId="28" fillId="19" borderId="0" xfId="0" applyFont="1" applyFill="1"/>
    <xf numFmtId="164" fontId="25" fillId="0" borderId="0" xfId="0" applyNumberFormat="1" applyFont="1" applyAlignment="1">
      <alignment horizontal="center"/>
    </xf>
    <xf numFmtId="164" fontId="4" fillId="17" borderId="0" xfId="0" applyNumberFormat="1" applyFont="1" applyFill="1" applyAlignment="1">
      <alignment horizontal="center" vertical="center"/>
    </xf>
    <xf numFmtId="0" fontId="4" fillId="1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center" vertical="center"/>
    </xf>
    <xf numFmtId="2" fontId="4" fillId="16" borderId="0" xfId="0" applyNumberFormat="1" applyFont="1" applyFill="1" applyAlignment="1">
      <alignment horizontal="right" vertical="center"/>
    </xf>
    <xf numFmtId="10" fontId="4" fillId="16" borderId="0" xfId="0" applyNumberFormat="1" applyFont="1" applyFill="1" applyAlignment="1">
      <alignment horizontal="right" vertical="center"/>
    </xf>
    <xf numFmtId="164" fontId="4" fillId="16" borderId="0" xfId="0" applyNumberFormat="1" applyFont="1" applyFill="1" applyAlignment="1">
      <alignment horizontal="center" vertical="center"/>
    </xf>
    <xf numFmtId="0" fontId="23" fillId="22" borderId="0" xfId="0" applyFont="1" applyFill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24" fillId="21" borderId="0" xfId="0" applyFont="1" applyFill="1" applyAlignment="1">
      <alignment horizontal="center" vertical="center"/>
    </xf>
    <xf numFmtId="0" fontId="29" fillId="24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wrapText="1"/>
    </xf>
    <xf numFmtId="0" fontId="30" fillId="0" borderId="0" xfId="0" applyFont="1"/>
    <xf numFmtId="0" fontId="31" fillId="0" borderId="0" xfId="0" applyFont="1"/>
    <xf numFmtId="0" fontId="27" fillId="14" borderId="0" xfId="0" applyFont="1" applyFill="1" applyAlignment="1">
      <alignment horizontal="center" wrapText="1"/>
    </xf>
    <xf numFmtId="0" fontId="32" fillId="15" borderId="0" xfId="0" applyFont="1" applyFill="1" applyAlignment="1">
      <alignment horizontal="center"/>
    </xf>
    <xf numFmtId="0" fontId="32" fillId="17" borderId="0" xfId="0" applyFont="1" applyFill="1" applyAlignment="1">
      <alignment horizontal="center"/>
    </xf>
    <xf numFmtId="0" fontId="32" fillId="16" borderId="0" xfId="0" applyFont="1" applyFill="1" applyAlignment="1">
      <alignment horizontal="center"/>
    </xf>
    <xf numFmtId="164" fontId="4" fillId="15" borderId="0" xfId="0" applyNumberFormat="1" applyFont="1" applyFill="1" applyAlignment="1">
      <alignment horizontal="center" vertical="center"/>
    </xf>
    <xf numFmtId="164" fontId="4" fillId="14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14" fontId="2" fillId="3" borderId="0" xfId="0" applyNumberFormat="1" applyFont="1" applyFill="1" applyAlignment="1">
      <alignment horizontal="left" vertical="center"/>
    </xf>
  </cellXfs>
  <cellStyles count="1">
    <cellStyle name="Standard" xfId="0" builtinId="0"/>
  </cellStyles>
  <dxfs count="18">
    <dxf>
      <font>
        <b/>
        <color rgb="FF9C0006"/>
      </font>
      <fill>
        <patternFill patternType="solid">
          <fgColor indexed="64"/>
          <bgColor rgb="FFFFC7CE"/>
        </patternFill>
      </fill>
    </dxf>
    <dxf>
      <font>
        <b/>
        <color rgb="FF9C0006"/>
      </font>
      <fill>
        <patternFill patternType="solid">
          <fgColor indexed="64"/>
          <bgColor rgb="FFFFC7CE"/>
        </patternFill>
      </fill>
    </dxf>
    <dxf>
      <font>
        <b/>
        <color rgb="FF843C0C"/>
      </font>
      <fill>
        <patternFill patternType="solid">
          <fgColor indexed="64"/>
          <bgColor rgb="FFFCE4D6"/>
        </patternFill>
      </fill>
    </dxf>
    <dxf>
      <font>
        <b/>
        <color rgb="FF276221"/>
      </font>
      <fill>
        <patternFill patternType="solid">
          <fgColor indexed="64"/>
          <bgColor rgb="FFC6EFCE"/>
        </patternFill>
      </fill>
    </dxf>
    <dxf>
      <font>
        <color rgb="FFAAAAAA"/>
      </font>
      <fill>
        <patternFill>
          <bgColor rgb="FFF2F2F2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843C0C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843C0C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7B0000"/>
      </font>
      <fill>
        <patternFill>
          <bgColor rgb="FFFF4C4C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FFFFFF"/>
      </font>
      <fill>
        <patternFill patternType="solid">
          <fgColor indexed="64"/>
          <bgColor rgb="FF4472C4"/>
        </patternFill>
      </fill>
    </dxf>
    <dxf>
      <font>
        <color rgb="FF7B5C00"/>
      </font>
      <fill>
        <patternFill patternType="solid">
          <fgColor indexed="64"/>
          <bgColor rgb="FFFFC000"/>
        </patternFill>
      </fill>
    </dxf>
    <dxf>
      <font>
        <b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77BE93-0DCF-48B2-8BCA-8958EAC6B55E}">
  <we:reference id="wa200009404" version="1.0.0.8" store="de-DE" storeType="OMEX"/>
  <we:alternateReferences>
    <we:reference id="WA200009404" version="1.0.0.8" store="" storeType="OMEX"/>
  </we:alternateReferences>
  <we:properties>
    <we:property name="claude.fileId" value="&quot;092a34fe-800b-4e76-a16b-e41e35af43e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"/>
  <sheetViews>
    <sheetView tabSelected="1" workbookViewId="0">
      <selection activeCell="J10" sqref="J10"/>
    </sheetView>
  </sheetViews>
  <sheetFormatPr baseColWidth="10" defaultColWidth="9.140625" defaultRowHeight="15" outlineLevelCol="1" x14ac:dyDescent="0.25"/>
  <cols>
    <col min="1" max="1" width="31.140625" customWidth="1"/>
    <col min="2" max="3" width="8" customWidth="1"/>
    <col min="4" max="4" width="10" customWidth="1"/>
    <col min="5" max="5" width="9" customWidth="1"/>
    <col min="6" max="6" width="13" customWidth="1"/>
    <col min="7" max="7" width="11" customWidth="1"/>
    <col min="8" max="8" width="8" customWidth="1"/>
    <col min="9" max="9" width="13" customWidth="1"/>
    <col min="10" max="10" width="8" customWidth="1"/>
    <col min="11" max="11" width="12" customWidth="1"/>
    <col min="12" max="12" width="16" customWidth="1"/>
    <col min="13" max="13" width="8" customWidth="1"/>
    <col min="14" max="14" width="40.42578125" customWidth="1"/>
    <col min="15" max="15" width="116.42578125" customWidth="1"/>
    <col min="16" max="16" width="31.7109375" customWidth="1"/>
    <col min="17" max="17" width="9.140625" customWidth="1" outlineLevel="1"/>
    <col min="18" max="18" width="17.140625" customWidth="1"/>
  </cols>
  <sheetData>
    <row r="1" spans="1:18" ht="25.5" customHeight="1" x14ac:dyDescent="0.2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r="2" spans="1:18" ht="13.5" customHeight="1" x14ac:dyDescent="0.25">
      <c r="A2" s="97">
        <f ca="1">TODAY()</f>
        <v>46188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8" ht="3.75" customHeight="1" x14ac:dyDescent="0.25"/>
    <row r="4" spans="1:18" ht="36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57" t="s">
        <v>17</v>
      </c>
      <c r="R4" s="86" t="s">
        <v>18</v>
      </c>
    </row>
    <row r="5" spans="1:18" ht="16.5" customHeight="1" x14ac:dyDescent="0.25">
      <c r="A5" s="2" t="s">
        <v>19</v>
      </c>
      <c r="B5" s="3" t="s">
        <v>20</v>
      </c>
      <c r="C5" s="3" t="s">
        <v>21</v>
      </c>
      <c r="D5" s="3" t="s">
        <v>22</v>
      </c>
      <c r="E5" s="4">
        <v>0</v>
      </c>
      <c r="F5" s="5">
        <v>654</v>
      </c>
      <c r="G5" s="6">
        <f t="shared" ref="G5:G24" si="0">IF(F$29=0,0,F5/F$29)</f>
        <v>4.0149424616999663E-2</v>
      </c>
      <c r="H5" s="6">
        <f>VLOOKUP($B5,'Parameter &amp; Regeln'!$A$56:$B$62,2,FALSE)/'Parameter &amp; Regeln'!$B$4</f>
        <v>4.9466537342386034E-2</v>
      </c>
      <c r="I5" s="5">
        <f t="shared" ref="I5:I24" si="1">H5*F$29</f>
        <v>805.76784675072747</v>
      </c>
      <c r="J5" s="5">
        <f t="shared" ref="J5:J24" si="2">I5-F5</f>
        <v>151.76784675072747</v>
      </c>
      <c r="K5" s="6">
        <f t="shared" ref="K5:K24" si="3">G5-H5</f>
        <v>-9.3171127253863714E-3</v>
      </c>
      <c r="L5" s="3" t="str">
        <f>IF(C5="Aktie",IF(K5&gt;'Parameter &amp; Regeln'!B$9,"📉 Reduzieren",IF(K5&lt;-'Parameter &amp; Regeln'!B$9,"📈 Aufstocken","⚖️ Halten")),IF(K5&gt;'Parameter &amp; Regeln'!B$8,"📉 Reduzieren",IF(K5&lt;-'Parameter &amp; Regeln'!B$8,"📈 Aufstocken","⚖️ Halten")))</f>
        <v>⚖️ Halten</v>
      </c>
      <c r="M5" s="94" t="str">
        <f>IF(C5="Aktie",IF(G5&gt;'Parameter &amp; Regeln'!B$10,"🚨 ÜBER CAP","✅ OK"),"")</f>
        <v/>
      </c>
      <c r="N5" s="84"/>
      <c r="O5" s="84"/>
      <c r="P5" s="65">
        <f>IF(C5="Aktie",'Parameter &amp; Regeln'!$B$4*'Parameter &amp; Regeln'!$B$6*Q5/SUMIFS($Q$5:$Q$24,$C$5:$C$24,"Aktie"),IFERROR(VLOOKUP(B5,'Parameter &amp; Regeln'!$A$56:$B$62,2,FALSE),0))</f>
        <v>51</v>
      </c>
      <c r="Q5" s="58">
        <f>IF(OR(C5="ETF",C5="Gold"),H5,IF(C5&lt;&gt;"Aktie",0,IF(OR(LEFT(O5,1)="🔴",LEFT(N5,8)="DEFCON 1"),0,IF(LEFT(N5,8)="DEFCON 2",IFERROR(VLOOKUP(B5,'Parameter &amp; Regeln'!$A$41:$C$53,3,FALSE),0)*'Parameter &amp; Regeln'!$B$27,IFERROR(VLOOKUP(B5,'Parameter &amp; Regeln'!$A$41:$C$53,3,FALSE),0)))))</f>
        <v>4.9466537342386034E-2</v>
      </c>
      <c r="R5" s="89" t="str">
        <f>IF(AND(C5="Aktie",OR(LEFT(O5,1)="🔴",LEFT(N5,8)="DEFCON 1")),IF(J5&gt;'Parameter &amp; Regeln'!$B$65,"🚩 FLAG (gesperrt)",""),IF(J5&gt;'Parameter &amp; Regeln'!$B$65,"🛒 Nachkaufen",IF(J5&lt;-'Parameter &amp; Regeln'!$B$65,"⏸️ Über Ziel","")))</f>
        <v/>
      </c>
    </row>
    <row r="6" spans="1:18" ht="16.5" customHeight="1" x14ac:dyDescent="0.25">
      <c r="A6" s="7" t="s">
        <v>23</v>
      </c>
      <c r="B6" s="8" t="s">
        <v>24</v>
      </c>
      <c r="C6" s="8" t="s">
        <v>25</v>
      </c>
      <c r="D6" s="8" t="s">
        <v>26</v>
      </c>
      <c r="E6" s="9">
        <v>0.7</v>
      </c>
      <c r="F6" s="10">
        <v>3943.46</v>
      </c>
      <c r="G6" s="11">
        <f t="shared" si="0"/>
        <v>0.24209120795130501</v>
      </c>
      <c r="H6" s="6">
        <f>VLOOKUP($B6,'Parameter &amp; Regeln'!$A$56:$B$62,2,FALSE)/'Parameter &amp; Regeln'!$B$4</f>
        <v>0.19980601357904948</v>
      </c>
      <c r="I6" s="10">
        <f t="shared" si="1"/>
        <v>3254.6701260911736</v>
      </c>
      <c r="J6" s="10">
        <f t="shared" si="2"/>
        <v>-688.78987390882639</v>
      </c>
      <c r="K6" s="11">
        <f t="shared" si="3"/>
        <v>4.228519437225553E-2</v>
      </c>
      <c r="L6" s="8" t="str">
        <f>IF(C6="Aktie",IF(K6&gt;'Parameter &amp; Regeln'!B$9,"📉 Reduzieren",IF(K6&lt;-'Parameter &amp; Regeln'!B$9,"📈 Aufstocken","⚖️ Halten")),IF(K6&gt;'Parameter &amp; Regeln'!B$8,"📉 Reduzieren",IF(K6&lt;-'Parameter &amp; Regeln'!B$8,"📈 Aufstocken","⚖️ Halten")))</f>
        <v>📉 Reduzieren</v>
      </c>
      <c r="M6" s="12" t="str">
        <f>IF(C6="Aktie",IF(G6&gt;'Parameter &amp; Regeln'!B$10,"🚨 ÜBER CAP","✅ OK"),"")</f>
        <v/>
      </c>
      <c r="N6" s="85"/>
      <c r="O6" s="85"/>
      <c r="P6" s="65">
        <f>IF(C6="Aktie",'Parameter &amp; Regeln'!$B$4*'Parameter &amp; Regeln'!$B$6*Q6/SUMIFS($Q$5:$Q$24,$C$5:$C$24,"Aktie"),IFERROR(VLOOKUP(B6,'Parameter &amp; Regeln'!$A$56:$B$62,2,FALSE),0))</f>
        <v>206</v>
      </c>
      <c r="Q6" s="58">
        <f>IF(OR(C6="ETF",C6="Gold"),H6,IF(C6&lt;&gt;"Aktie",0,IF(OR(LEFT(O6,1)="🔴",LEFT(N6,8)="DEFCON 1"),0,IF(LEFT(N6,8)="DEFCON 2",IFERROR(VLOOKUP(B6,'Parameter &amp; Regeln'!$A$41:$C$53,3,FALSE),0)*'Parameter &amp; Regeln'!$B$27,IFERROR(VLOOKUP(B6,'Parameter &amp; Regeln'!$A$41:$C$53,3,FALSE),0)))))</f>
        <v>0.19980601357904948</v>
      </c>
      <c r="R6" s="90" t="str">
        <f>IF(AND(C6="Aktie",OR(LEFT(O6,1)="🔴",LEFT(N6,8)="DEFCON 1")),IF(J6&gt;'Parameter &amp; Regeln'!$B$65,"🚩 FLAG (gesperrt)",""),IF(J6&gt;'Parameter &amp; Regeln'!$B$65,"🛒 Nachkaufen",IF(J6&lt;-'Parameter &amp; Regeln'!$B$65,"⏸️ Über Ziel","")))</f>
        <v>⏸️ Über Ziel</v>
      </c>
    </row>
    <row r="7" spans="1:18" ht="16.5" customHeight="1" x14ac:dyDescent="0.25">
      <c r="A7" s="7" t="s">
        <v>27</v>
      </c>
      <c r="B7" s="8" t="s">
        <v>28</v>
      </c>
      <c r="C7" s="8" t="s">
        <v>25</v>
      </c>
      <c r="D7" s="8" t="s">
        <v>26</v>
      </c>
      <c r="E7" s="9">
        <v>0</v>
      </c>
      <c r="F7" s="10">
        <v>1349.52</v>
      </c>
      <c r="G7" s="11">
        <f t="shared" si="0"/>
        <v>8.2847785182161127E-2</v>
      </c>
      <c r="H7" s="6">
        <f>VLOOKUP($B7,'Parameter &amp; Regeln'!$A$56:$B$62,2,FALSE)/'Parameter &amp; Regeln'!$B$4</f>
        <v>0.11930164888457807</v>
      </c>
      <c r="I7" s="10">
        <f t="shared" si="1"/>
        <v>1943.3224539282248</v>
      </c>
      <c r="J7" s="10">
        <f t="shared" si="2"/>
        <v>593.80245392822485</v>
      </c>
      <c r="K7" s="11">
        <f t="shared" si="3"/>
        <v>-3.6453863702416947E-2</v>
      </c>
      <c r="L7" s="8" t="str">
        <f>IF(C7="Aktie",IF(K7&gt;'Parameter &amp; Regeln'!B$9,"📉 Reduzieren",IF(K7&lt;-'Parameter &amp; Regeln'!B$9,"📈 Aufstocken","⚖️ Halten")),IF(K7&gt;'Parameter &amp; Regeln'!B$8,"📉 Reduzieren",IF(K7&lt;-'Parameter &amp; Regeln'!B$8,"📈 Aufstocken","⚖️ Halten")))</f>
        <v>📈 Aufstocken</v>
      </c>
      <c r="M7" s="12" t="str">
        <f>IF(C7="Aktie",IF(G7&gt;'Parameter &amp; Regeln'!B$10,"🚨 ÜBER CAP","✅ OK"),"")</f>
        <v/>
      </c>
      <c r="N7" s="85"/>
      <c r="O7" s="85"/>
      <c r="P7" s="65">
        <f>IF(C7="Aktie",'Parameter &amp; Regeln'!$B$4*'Parameter &amp; Regeln'!$B$6*Q7/SUMIFS($Q$5:$Q$24,$C$5:$C$24,"Aktie"),IFERROR(VLOOKUP(B7,'Parameter &amp; Regeln'!$A$56:$B$62,2,FALSE),0))</f>
        <v>123</v>
      </c>
      <c r="Q7" s="58">
        <f>IF(OR(C7="ETF",C7="Gold"),H7,IF(C7&lt;&gt;"Aktie",0,IF(OR(LEFT(O7,1)="🔴",LEFT(N7,8)="DEFCON 1"),0,IF(LEFT(N7,8)="DEFCON 2",IFERROR(VLOOKUP(B7,'Parameter &amp; Regeln'!$A$41:$C$53,3,FALSE),0)*'Parameter &amp; Regeln'!$B$27,IFERROR(VLOOKUP(B7,'Parameter &amp; Regeln'!$A$41:$C$53,3,FALSE),0)))))</f>
        <v>0.11930164888457807</v>
      </c>
      <c r="R7" s="90" t="str">
        <f>IF(AND(C7="Aktie",OR(LEFT(O7,1)="🔴",LEFT(N7,8)="DEFCON 1")),IF(J7&gt;'Parameter &amp; Regeln'!$B$65,"🚩 FLAG (gesperrt)",""),IF(J7&gt;'Parameter &amp; Regeln'!$B$65,"🛒 Nachkaufen",IF(J7&lt;-'Parameter &amp; Regeln'!$B$65,"⏸️ Über Ziel","")))</f>
        <v>🛒 Nachkaufen</v>
      </c>
    </row>
    <row r="8" spans="1:18" ht="16.5" customHeight="1" x14ac:dyDescent="0.25">
      <c r="A8" s="7" t="s">
        <v>29</v>
      </c>
      <c r="B8" s="8" t="s">
        <v>30</v>
      </c>
      <c r="C8" s="8" t="s">
        <v>25</v>
      </c>
      <c r="D8" s="8" t="s">
        <v>26</v>
      </c>
      <c r="E8" s="9">
        <v>0</v>
      </c>
      <c r="F8" s="10">
        <v>1978.17</v>
      </c>
      <c r="G8" s="11">
        <f t="shared" si="0"/>
        <v>0.12144095916607067</v>
      </c>
      <c r="H8" s="6">
        <f>VLOOKUP($B8,'Parameter &amp; Regeln'!$A$56:$B$62,2,FALSE)/'Parameter &amp; Regeln'!$B$4</f>
        <v>7.953443258971872E-2</v>
      </c>
      <c r="I8" s="10">
        <f t="shared" si="1"/>
        <v>1295.5483026188167</v>
      </c>
      <c r="J8" s="10">
        <f t="shared" si="2"/>
        <v>-682.62169738118337</v>
      </c>
      <c r="K8" s="11">
        <f t="shared" si="3"/>
        <v>4.1906526576351952E-2</v>
      </c>
      <c r="L8" s="8" t="str">
        <f>IF(C8="Aktie",IF(K8&gt;'Parameter &amp; Regeln'!B$9,"📉 Reduzieren",IF(K8&lt;-'Parameter &amp; Regeln'!B$9,"📈 Aufstocken","⚖️ Halten")),IF(K8&gt;'Parameter &amp; Regeln'!B$8,"📉 Reduzieren",IF(K8&lt;-'Parameter &amp; Regeln'!B$8,"📈 Aufstocken","⚖️ Halten")))</f>
        <v>📉 Reduzieren</v>
      </c>
      <c r="M8" s="12" t="str">
        <f>IF(C8="Aktie",IF(G8&gt;'Parameter &amp; Regeln'!B$10,"🚨 ÜBER CAP","✅ OK"),"")</f>
        <v/>
      </c>
      <c r="N8" s="85"/>
      <c r="O8" s="85"/>
      <c r="P8" s="65">
        <f>IF(C8="Aktie",'Parameter &amp; Regeln'!$B$4*'Parameter &amp; Regeln'!$B$6*Q8/SUMIFS($Q$5:$Q$24,$C$5:$C$24,"Aktie"),IFERROR(VLOOKUP(B8,'Parameter &amp; Regeln'!$A$56:$B$62,2,FALSE),0))</f>
        <v>82</v>
      </c>
      <c r="Q8" s="58">
        <f>IF(OR(C8="ETF",C8="Gold"),H8,IF(C8&lt;&gt;"Aktie",0,IF(OR(LEFT(O8,1)="🔴",LEFT(N8,8)="DEFCON 1"),0,IF(LEFT(N8,8)="DEFCON 2",IFERROR(VLOOKUP(B8,'Parameter &amp; Regeln'!$A$41:$C$53,3,FALSE),0)*'Parameter &amp; Regeln'!$B$27,IFERROR(VLOOKUP(B8,'Parameter &amp; Regeln'!$A$41:$C$53,3,FALSE),0)))))</f>
        <v>7.953443258971872E-2</v>
      </c>
      <c r="R8" s="90" t="str">
        <f>IF(AND(C8="Aktie",OR(LEFT(O8,1)="🔴",LEFT(N8,8)="DEFCON 1")),IF(J8&gt;'Parameter &amp; Regeln'!$B$65,"🚩 FLAG (gesperrt)",""),IF(J8&gt;'Parameter &amp; Regeln'!$B$65,"🛒 Nachkaufen",IF(J8&lt;-'Parameter &amp; Regeln'!$B$65,"⏸️ Über Ziel","")))</f>
        <v>⏸️ Über Ziel</v>
      </c>
    </row>
    <row r="9" spans="1:18" ht="16.5" customHeight="1" x14ac:dyDescent="0.25">
      <c r="A9" s="7" t="s">
        <v>31</v>
      </c>
      <c r="B9" s="8" t="s">
        <v>32</v>
      </c>
      <c r="C9" s="8" t="s">
        <v>25</v>
      </c>
      <c r="D9" s="8" t="s">
        <v>22</v>
      </c>
      <c r="E9" s="9">
        <v>0.67</v>
      </c>
      <c r="F9" s="10">
        <v>1366</v>
      </c>
      <c r="G9" s="11">
        <f t="shared" si="0"/>
        <v>8.3859501570063513E-2</v>
      </c>
      <c r="H9" s="6">
        <f>VLOOKUP($B9,'Parameter &amp; Regeln'!$A$56:$B$62,2,FALSE)/'Parameter &amp; Regeln'!$B$4</f>
        <v>7.953443258971872E-2</v>
      </c>
      <c r="I9" s="10">
        <f t="shared" si="1"/>
        <v>1295.5483026188167</v>
      </c>
      <c r="J9" s="10">
        <f t="shared" si="2"/>
        <v>-70.451697381183294</v>
      </c>
      <c r="K9" s="11">
        <f t="shared" si="3"/>
        <v>4.3250689803447928E-3</v>
      </c>
      <c r="L9" s="8" t="str">
        <f>IF(C9="Aktie",IF(K9&gt;'Parameter &amp; Regeln'!B$9,"📉 Reduzieren",IF(K9&lt;-'Parameter &amp; Regeln'!B$9,"📈 Aufstocken","⚖️ Halten")),IF(K9&gt;'Parameter &amp; Regeln'!B$8,"📉 Reduzieren",IF(K9&lt;-'Parameter &amp; Regeln'!B$8,"📈 Aufstocken","⚖️ Halten")))</f>
        <v>⚖️ Halten</v>
      </c>
      <c r="M9" s="12" t="str">
        <f>IF(C9="Aktie",IF(G9&gt;'Parameter &amp; Regeln'!B$10,"🚨 ÜBER CAP","✅ OK"),"")</f>
        <v/>
      </c>
      <c r="N9" s="85"/>
      <c r="O9" s="85"/>
      <c r="P9" s="65">
        <f>IF(C9="Aktie",'Parameter &amp; Regeln'!$B$4*'Parameter &amp; Regeln'!$B$6*Q9/SUMIFS($Q$5:$Q$24,$C$5:$C$24,"Aktie"),IFERROR(VLOOKUP(B9,'Parameter &amp; Regeln'!$A$56:$B$62,2,FALSE),0))</f>
        <v>82</v>
      </c>
      <c r="Q9" s="58">
        <f>IF(OR(C9="ETF",C9="Gold"),H9,IF(C9&lt;&gt;"Aktie",0,IF(OR(LEFT(O9,1)="🔴",LEFT(N9,8)="DEFCON 1"),0,IF(LEFT(N9,8)="DEFCON 2",IFERROR(VLOOKUP(B9,'Parameter &amp; Regeln'!$A$41:$C$53,3,FALSE),0)*'Parameter &amp; Regeln'!$B$27,IFERROR(VLOOKUP(B9,'Parameter &amp; Regeln'!$A$41:$C$53,3,FALSE),0)))))</f>
        <v>7.953443258971872E-2</v>
      </c>
      <c r="R9" s="90" t="str">
        <f>IF(AND(C9="Aktie",OR(LEFT(O9,1)="🔴",LEFT(N9,8)="DEFCON 1")),IF(J9&gt;'Parameter &amp; Regeln'!$B$65,"🚩 FLAG (gesperrt)",""),IF(J9&gt;'Parameter &amp; Regeln'!$B$65,"🛒 Nachkaufen",IF(J9&lt;-'Parameter &amp; Regeln'!$B$65,"⏸️ Über Ziel","")))</f>
        <v/>
      </c>
    </row>
    <row r="10" spans="1:18" ht="16.5" customHeight="1" x14ac:dyDescent="0.25">
      <c r="A10" s="7" t="s">
        <v>33</v>
      </c>
      <c r="B10" s="8" t="s">
        <v>34</v>
      </c>
      <c r="C10" s="8" t="s">
        <v>25</v>
      </c>
      <c r="D10" s="8" t="s">
        <v>22</v>
      </c>
      <c r="E10" s="9">
        <v>0.62</v>
      </c>
      <c r="F10" s="10">
        <v>0</v>
      </c>
      <c r="G10" s="11">
        <f t="shared" si="0"/>
        <v>0</v>
      </c>
      <c r="H10" s="6">
        <f>VLOOKUP($B10,'Parameter &amp; Regeln'!$A$56:$B$62,2,FALSE)/'Parameter &amp; Regeln'!$B$4</f>
        <v>6.9835111542192047E-2</v>
      </c>
      <c r="I10" s="10">
        <f t="shared" si="1"/>
        <v>1137.5546071774975</v>
      </c>
      <c r="J10" s="10">
        <f t="shared" si="2"/>
        <v>1137.5546071774975</v>
      </c>
      <c r="K10" s="11">
        <f t="shared" si="3"/>
        <v>-6.9835111542192047E-2</v>
      </c>
      <c r="L10" s="8" t="str">
        <f>IF(C10="Aktie",IF(K10&gt;'Parameter &amp; Regeln'!B$9,"📉 Reduzieren",IF(K10&lt;-'Parameter &amp; Regeln'!B$9,"📈 Aufstocken","⚖️ Halten")),IF(K10&gt;'Parameter &amp; Regeln'!B$8,"📉 Reduzieren",IF(K10&lt;-'Parameter &amp; Regeln'!B$8,"📈 Aufstocken","⚖️ Halten")))</f>
        <v>📈 Aufstocken</v>
      </c>
      <c r="M10" s="12" t="str">
        <f>IF(C10="Aktie",IF(G10&gt;'Parameter &amp; Regeln'!B$10,"🚨 ÜBER CAP","✅ OK"),"")</f>
        <v/>
      </c>
      <c r="N10" s="85"/>
      <c r="O10" s="85"/>
      <c r="P10" s="65">
        <f>IF(C10="Aktie",'Parameter &amp; Regeln'!$B$4*'Parameter &amp; Regeln'!$B$6*Q10/SUMIFS($Q$5:$Q$24,$C$5:$C$24,"Aktie"),IFERROR(VLOOKUP(B10,'Parameter &amp; Regeln'!$A$56:$B$62,2,FALSE),0))</f>
        <v>72</v>
      </c>
      <c r="Q10" s="58">
        <f>IF(OR(C10="ETF",C10="Gold"),H10,IF(C10&lt;&gt;"Aktie",0,IF(OR(LEFT(O10,1)="🔴",LEFT(N10,8)="DEFCON 1"),0,IF(LEFT(N10,8)="DEFCON 2",IFERROR(VLOOKUP(B10,'Parameter &amp; Regeln'!$A$41:$C$53,3,FALSE),0)*'Parameter &amp; Regeln'!$B$27,IFERROR(VLOOKUP(B10,'Parameter &amp; Regeln'!$A$41:$C$53,3,FALSE),0)))))</f>
        <v>6.9835111542192047E-2</v>
      </c>
      <c r="R10" s="90" t="str">
        <f>IF(AND(C10="Aktie",OR(LEFT(O10,1)="🔴",LEFT(N10,8)="DEFCON 1")),IF(J10&gt;'Parameter &amp; Regeln'!$B$65,"🚩 FLAG (gesperrt)",""),IF(J10&gt;'Parameter &amp; Regeln'!$B$65,"🛒 Nachkaufen",IF(J10&lt;-'Parameter &amp; Regeln'!$B$65,"⏸️ Über Ziel","")))</f>
        <v>🛒 Nachkaufen</v>
      </c>
    </row>
    <row r="11" spans="1:18" ht="16.5" customHeight="1" x14ac:dyDescent="0.25">
      <c r="A11" s="7" t="s">
        <v>35</v>
      </c>
      <c r="B11" s="8" t="s">
        <v>36</v>
      </c>
      <c r="C11" s="8" t="s">
        <v>25</v>
      </c>
      <c r="D11" s="8" t="s">
        <v>22</v>
      </c>
      <c r="E11" s="9">
        <v>0.68</v>
      </c>
      <c r="F11" s="10">
        <v>193</v>
      </c>
      <c r="G11" s="11">
        <f t="shared" si="0"/>
        <v>1.1848377601041184E-2</v>
      </c>
      <c r="H11" s="6">
        <f>VLOOKUP($B11,'Parameter &amp; Regeln'!$A$56:$B$62,2,FALSE)/'Parameter &amp; Regeln'!$B$4</f>
        <v>4.9466537342386034E-2</v>
      </c>
      <c r="I11" s="10">
        <f t="shared" si="1"/>
        <v>805.76784675072747</v>
      </c>
      <c r="J11" s="10">
        <f t="shared" si="2"/>
        <v>612.76784675072747</v>
      </c>
      <c r="K11" s="11">
        <f t="shared" si="3"/>
        <v>-3.7618159741344852E-2</v>
      </c>
      <c r="L11" s="13" t="str">
        <f>IF(C11="Aktie",IF(K11&gt;'Parameter &amp; Regeln'!B$9,"📉 Reduzieren",IF(K11&lt;-'Parameter &amp; Regeln'!B$9,"📈 Aufstocken","⚖️ Halten")),IF(K11&gt;'Parameter &amp; Regeln'!B$8,"📉 Reduzieren",IF(K11&lt;-'Parameter &amp; Regeln'!B$8,"📈 Aufstocken","⚖️ Halten")))</f>
        <v>📈 Aufstocken</v>
      </c>
      <c r="M11" s="93" t="str">
        <f>IF(C11="Aktie",IF(G11&gt;'Parameter &amp; Regeln'!B$10,"🚨 ÜBER CAP","✅ OK"),"")</f>
        <v/>
      </c>
      <c r="N11" s="85"/>
      <c r="O11" s="85"/>
      <c r="P11" s="65">
        <f>IF(C11="Aktie",'Parameter &amp; Regeln'!$B$4*'Parameter &amp; Regeln'!$B$6*Q11/SUMIFS($Q$5:$Q$24,$C$5:$C$24,"Aktie"),IFERROR(VLOOKUP(B11,'Parameter &amp; Regeln'!$A$56:$B$62,2,FALSE),0))</f>
        <v>51</v>
      </c>
      <c r="Q11" s="58">
        <f>IF(OR(C11="ETF",C11="Gold"),H11,IF(C11&lt;&gt;"Aktie",0,IF(OR(LEFT(O11,1)="🔴",LEFT(N11,8)="DEFCON 1"),0,IF(LEFT(N11,8)="DEFCON 2",IFERROR(VLOOKUP(B11,'Parameter &amp; Regeln'!$A$41:$C$53,3,FALSE),0)*'Parameter &amp; Regeln'!$B$27,IFERROR(VLOOKUP(B11,'Parameter &amp; Regeln'!$A$41:$C$53,3,FALSE),0)))))</f>
        <v>4.9466537342386034E-2</v>
      </c>
      <c r="R11" s="90" t="str">
        <f>IF(AND(C11="Aktie",OR(LEFT(O11,1)="🔴",LEFT(N11,8)="DEFCON 1")),IF(J11&gt;'Parameter &amp; Regeln'!$B$65,"🚩 FLAG (gesperrt)",""),IF(J11&gt;'Parameter &amp; Regeln'!$B$65,"🛒 Nachkaufen",IF(J11&lt;-'Parameter &amp; Regeln'!$B$65,"⏸️ Über Ziel","")))</f>
        <v>🛒 Nachkaufen</v>
      </c>
    </row>
    <row r="12" spans="1:18" ht="16.5" customHeight="1" x14ac:dyDescent="0.25">
      <c r="A12" s="59" t="s">
        <v>37</v>
      </c>
      <c r="B12" s="60" t="s">
        <v>38</v>
      </c>
      <c r="C12" s="60" t="s">
        <v>39</v>
      </c>
      <c r="D12" s="60" t="s">
        <v>22</v>
      </c>
      <c r="E12" s="61">
        <v>1</v>
      </c>
      <c r="F12" s="62">
        <v>381</v>
      </c>
      <c r="G12" s="63">
        <f t="shared" si="0"/>
        <v>2.3389802414490627E-2</v>
      </c>
      <c r="H12" s="63">
        <f>'Parameter &amp; Regeln'!$B$35/'Parameter &amp; Regeln'!$B$4</f>
        <v>3.8797284190106696E-2</v>
      </c>
      <c r="I12" s="62">
        <f t="shared" si="1"/>
        <v>631.97478176527648</v>
      </c>
      <c r="J12" s="62">
        <f t="shared" si="2"/>
        <v>250.97478176527648</v>
      </c>
      <c r="K12" s="63">
        <f t="shared" si="3"/>
        <v>-1.5407481775616069E-2</v>
      </c>
      <c r="L12" s="60" t="str">
        <f>IF(C12="Aktie",IF(K12&gt;'Parameter &amp; Regeln'!B$9,"📉 Reduzieren",IF(K12&lt;-'Parameter &amp; Regeln'!B$9,"📈 Aufstocken","⚖️ Halten")),IF(K12&gt;'Parameter &amp; Regeln'!B$8,"📉 Reduzieren",IF(K12&lt;-'Parameter &amp; Regeln'!B$8,"📈 Aufstocken","⚖️ Halten")))</f>
        <v>⚖️ Halten</v>
      </c>
      <c r="M12" s="74" t="str">
        <f>IF(C12="Aktie",IF(G12&gt;'Parameter &amp; Regeln'!B$10,"🚨 ÜBER CAP","✅ OK"),"")</f>
        <v>✅ OK</v>
      </c>
      <c r="N12" s="80" t="s">
        <v>40</v>
      </c>
      <c r="O12" s="80" t="s">
        <v>41</v>
      </c>
      <c r="P12" s="65">
        <f>IF(C12="Aktie",'Parameter &amp; Regeln'!$B$4*'Parameter &amp; Regeln'!$B$6*Q12/SUMIFS($Q$5:$Q$24,$C$5:$C$24,"Aktie"),IFERROR(VLOOKUP(B12,'Parameter &amp; Regeln'!$A$56:$B$62,2,FALSE),0))</f>
        <v>0</v>
      </c>
      <c r="Q12" s="58">
        <f>IF(OR(C12="ETF",C12="Gold"),H12,IF(C12&lt;&gt;"Aktie",0,IF(OR(LEFT(O12,1)="🔴",LEFT(N12,8)="DEFCON 1"),0,IF(LEFT(N12,8)="DEFCON 2",IFERROR(VLOOKUP(B12,'Parameter &amp; Regeln'!$A$41:$C$53,3,FALSE),0)*'Parameter &amp; Regeln'!$B$27,IFERROR(VLOOKUP(B12,'Parameter &amp; Regeln'!$A$41:$C$53,3,FALSE),0)))))</f>
        <v>0</v>
      </c>
      <c r="R12" s="91" t="str">
        <f>IF(AND(C12="Aktie",OR(LEFT(O12,1)="🔴",LEFT(N12,8)="DEFCON 1")),IF(J12&gt;'Parameter &amp; Regeln'!$B$65,"🚩 FLAG (gesperrt)",""),IF(J12&gt;'Parameter &amp; Regeln'!$B$65,"🛒 Nachkaufen",IF(J12&lt;-'Parameter &amp; Regeln'!$B$65,"⏸️ Über Ziel","")))</f>
        <v/>
      </c>
    </row>
    <row r="13" spans="1:18" ht="16.5" customHeight="1" x14ac:dyDescent="0.25">
      <c r="A13" s="75" t="s">
        <v>42</v>
      </c>
      <c r="B13" s="76" t="s">
        <v>43</v>
      </c>
      <c r="C13" s="76" t="s">
        <v>39</v>
      </c>
      <c r="D13" s="76" t="s">
        <v>22</v>
      </c>
      <c r="E13" s="77">
        <v>1</v>
      </c>
      <c r="F13" s="64">
        <v>378</v>
      </c>
      <c r="G13" s="78">
        <f t="shared" si="0"/>
        <v>2.3205630741935584E-2</v>
      </c>
      <c r="H13" s="78">
        <f>'Parameter &amp; Regeln'!$B$37/'Parameter &amp; Regeln'!$B$4</f>
        <v>1.7458777885548012E-2</v>
      </c>
      <c r="I13" s="64">
        <f t="shared" si="1"/>
        <v>284.38865179437437</v>
      </c>
      <c r="J13" s="64">
        <f t="shared" si="2"/>
        <v>-93.611348205625632</v>
      </c>
      <c r="K13" s="78">
        <f t="shared" si="3"/>
        <v>5.7468528563875722E-3</v>
      </c>
      <c r="L13" s="76" t="str">
        <f>IF(C13="Aktie",IF(K13&gt;'Parameter &amp; Regeln'!B$9,"📉 Reduzieren",IF(K13&lt;-'Parameter &amp; Regeln'!B$9,"📈 Aufstocken","⚖️ Halten")),IF(K13&gt;'Parameter &amp; Regeln'!B$8,"📉 Reduzieren",IF(K13&lt;-'Parameter &amp; Regeln'!B$8,"📈 Aufstocken","⚖️ Halten")))</f>
        <v>⚖️ Halten</v>
      </c>
      <c r="M13" s="79" t="str">
        <f>IF(C13="Aktie",IF(G13&gt;'Parameter &amp; Regeln'!B$10,"🚨 ÜBER CAP","✅ OK"),"")</f>
        <v>✅ OK</v>
      </c>
      <c r="N13" s="81" t="s">
        <v>44</v>
      </c>
      <c r="O13" s="80" t="s">
        <v>45</v>
      </c>
      <c r="P13" s="65">
        <f>IF(C13="Aktie",'Parameter &amp; Regeln'!$B$4*'Parameter &amp; Regeln'!$B$6*Q13/SUMIFS($Q$5:$Q$24,$C$5:$C$24,"Aktie"),IFERROR(VLOOKUP(B13,'Parameter &amp; Regeln'!$A$56:$B$62,2,FALSE),0))</f>
        <v>0</v>
      </c>
      <c r="Q13" s="58">
        <f>IF(OR(C13="ETF",C13="Gold"),H13,IF(C13&lt;&gt;"Aktie",0,IF(OR(LEFT(O13,1)="🔴",LEFT(N13,8)="DEFCON 1"),0,IF(LEFT(N13,8)="DEFCON 2",IFERROR(VLOOKUP(B13,'Parameter &amp; Regeln'!$A$41:$C$53,3,FALSE),0)*'Parameter &amp; Regeln'!$B$27,IFERROR(VLOOKUP(B13,'Parameter &amp; Regeln'!$A$41:$C$53,3,FALSE),0)))))</f>
        <v>0</v>
      </c>
      <c r="R13" s="92" t="str">
        <f>IF(AND(C13="Aktie",OR(LEFT(O13,1)="🔴",LEFT(N13,8)="DEFCON 1")),IF(J13&gt;'Parameter &amp; Regeln'!$B$65,"🚩 FLAG (gesperrt)",""),IF(J13&gt;'Parameter &amp; Regeln'!$B$65,"🛒 Nachkaufen",IF(J13&lt;-'Parameter &amp; Regeln'!$B$65,"⏸️ Über Ziel","")))</f>
        <v/>
      </c>
    </row>
    <row r="14" spans="1:18" ht="16.5" customHeight="1" x14ac:dyDescent="0.25">
      <c r="A14" s="59" t="s">
        <v>46</v>
      </c>
      <c r="B14" s="60" t="s">
        <v>47</v>
      </c>
      <c r="C14" s="60" t="s">
        <v>39</v>
      </c>
      <c r="D14" s="60" t="s">
        <v>22</v>
      </c>
      <c r="E14" s="61">
        <v>0</v>
      </c>
      <c r="F14" s="62">
        <v>560</v>
      </c>
      <c r="G14" s="63">
        <f t="shared" si="0"/>
        <v>3.4378712210274935E-2</v>
      </c>
      <c r="H14" s="63">
        <f>'Parameter &amp; Regeln'!$B$36/'Parameter &amp; Regeln'!$B$4</f>
        <v>3.1037827352085354E-2</v>
      </c>
      <c r="I14" s="62">
        <f t="shared" si="1"/>
        <v>505.57982541222111</v>
      </c>
      <c r="J14" s="62">
        <f t="shared" si="2"/>
        <v>-54.420174587778888</v>
      </c>
      <c r="K14" s="63">
        <f t="shared" si="3"/>
        <v>3.3408848581895807E-3</v>
      </c>
      <c r="L14" s="60" t="str">
        <f>IF(C14="Aktie",IF(K14&gt;'Parameter &amp; Regeln'!B$9,"📉 Reduzieren",IF(K14&lt;-'Parameter &amp; Regeln'!B$9,"📈 Aufstocken","⚖️ Halten")),IF(K14&gt;'Parameter &amp; Regeln'!B$8,"📉 Reduzieren",IF(K14&lt;-'Parameter &amp; Regeln'!B$8,"📈 Aufstocken","⚖️ Halten")))</f>
        <v>⚖️ Halten</v>
      </c>
      <c r="M14" s="74" t="str">
        <f>IF(C14="Aktie",IF(G14&gt;'Parameter &amp; Regeln'!B$10,"🚨 ÜBER CAP","✅ OK"),"")</f>
        <v>✅ OK</v>
      </c>
      <c r="N14" s="82" t="s">
        <v>48</v>
      </c>
      <c r="O14" s="83" t="s">
        <v>49</v>
      </c>
      <c r="P14" s="65">
        <f>IF(C14="Aktie",'Parameter &amp; Regeln'!$B$4*'Parameter &amp; Regeln'!$B$6*Q14/SUMIFS($Q$5:$Q$24,$C$5:$C$24,"Aktie"),IFERROR(VLOOKUP(B14,'Parameter &amp; Regeln'!$A$56:$B$62,2,FALSE),0))</f>
        <v>55.45798095238095</v>
      </c>
      <c r="Q14" s="58">
        <f>IF(OR(C14="ETF",C14="Gold"),H14,IF(C14&lt;&gt;"Aktie",0,IF(OR(LEFT(O14,1)="🔴",LEFT(N14,8)="DEFCON 1"),0,IF(LEFT(N14,8)="DEFCON 2",IFERROR(VLOOKUP(B14,'Parameter &amp; Regeln'!$A$41:$C$53,3,FALSE),0)*'Parameter &amp; Regeln'!$B$27,IFERROR(VLOOKUP(B14,'Parameter &amp; Regeln'!$A$41:$C$53,3,FALSE),0)))))</f>
        <v>32</v>
      </c>
      <c r="R14" s="91" t="str">
        <f>IF(AND(C14="Aktie",OR(LEFT(O14,1)="🔴",LEFT(N14,8)="DEFCON 1")),IF(J14&gt;'Parameter &amp; Regeln'!$B$65,"🚩 FLAG (gesperrt)",""),IF(J14&gt;'Parameter &amp; Regeln'!$B$65,"🛒 Nachkaufen",IF(J14&lt;-'Parameter &amp; Regeln'!$B$65,"⏸️ Über Ziel","")))</f>
        <v/>
      </c>
    </row>
    <row r="15" spans="1:18" ht="16.5" customHeight="1" x14ac:dyDescent="0.25">
      <c r="A15" s="75" t="s">
        <v>50</v>
      </c>
      <c r="B15" s="76" t="s">
        <v>51</v>
      </c>
      <c r="C15" s="76" t="s">
        <v>39</v>
      </c>
      <c r="D15" s="76" t="s">
        <v>22</v>
      </c>
      <c r="E15" s="77">
        <v>1</v>
      </c>
      <c r="F15" s="64">
        <v>453</v>
      </c>
      <c r="G15" s="78">
        <f t="shared" si="0"/>
        <v>2.7809922555811693E-2</v>
      </c>
      <c r="H15" s="78">
        <f>'Parameter &amp; Regeln'!$B$37/'Parameter &amp; Regeln'!$B$4</f>
        <v>1.7458777885548012E-2</v>
      </c>
      <c r="I15" s="64">
        <f t="shared" si="1"/>
        <v>284.38865179437437</v>
      </c>
      <c r="J15" s="64">
        <f t="shared" si="2"/>
        <v>-168.61134820562563</v>
      </c>
      <c r="K15" s="78">
        <f t="shared" si="3"/>
        <v>1.0351144670263681E-2</v>
      </c>
      <c r="L15" s="76" t="str">
        <f>IF(C15="Aktie",IF(K15&gt;'Parameter &amp; Regeln'!B$9,"📉 Reduzieren",IF(K15&lt;-'Parameter &amp; Regeln'!B$9,"📈 Aufstocken","⚖️ Halten")),IF(K15&gt;'Parameter &amp; Regeln'!B$8,"📉 Reduzieren",IF(K15&lt;-'Parameter &amp; Regeln'!B$8,"📈 Aufstocken","⚖️ Halten")))</f>
        <v>⚖️ Halten</v>
      </c>
      <c r="M15" s="79" t="str">
        <f>IF(C15="Aktie",IF(G15&gt;'Parameter &amp; Regeln'!B$10,"🚨 ÜBER CAP","✅ OK"),"")</f>
        <v>✅ OK</v>
      </c>
      <c r="N15" s="82" t="s">
        <v>52</v>
      </c>
      <c r="O15" s="82" t="s">
        <v>53</v>
      </c>
      <c r="P15" s="65">
        <f>IF(C15="Aktie",'Parameter &amp; Regeln'!$B$4*'Parameter &amp; Regeln'!$B$6*Q15/SUMIFS($Q$5:$Q$24,$C$5:$C$24,"Aktie"),IFERROR(VLOOKUP(B15,'Parameter &amp; Regeln'!$A$56:$B$62,2,FALSE),0))</f>
        <v>31.195114285714286</v>
      </c>
      <c r="Q15" s="58">
        <f>IF(OR(C15="ETF",C15="Gold"),H15,IF(C15&lt;&gt;"Aktie",0,IF(OR(LEFT(O15,1)="🔴",LEFT(N15,8)="DEFCON 1"),0,IF(LEFT(N15,8)="DEFCON 2",IFERROR(VLOOKUP(B15,'Parameter &amp; Regeln'!$A$41:$C$53,3,FALSE),0)*'Parameter &amp; Regeln'!$B$27,IFERROR(VLOOKUP(B15,'Parameter &amp; Regeln'!$A$41:$C$53,3,FALSE),0)))))</f>
        <v>18</v>
      </c>
      <c r="R15" s="92" t="str">
        <f>IF(AND(C15="Aktie",OR(LEFT(O15,1)="🔴",LEFT(N15,8)="DEFCON 1")),IF(J15&gt;'Parameter &amp; Regeln'!$B$65,"🚩 FLAG (gesperrt)",""),IF(J15&gt;'Parameter &amp; Regeln'!$B$65,"🛒 Nachkaufen",IF(J15&lt;-'Parameter &amp; Regeln'!$B$65,"⏸️ Über Ziel","")))</f>
        <v/>
      </c>
    </row>
    <row r="16" spans="1:18" ht="16.5" customHeight="1" x14ac:dyDescent="0.25">
      <c r="A16" s="59" t="s">
        <v>54</v>
      </c>
      <c r="B16" s="60" t="s">
        <v>55</v>
      </c>
      <c r="C16" s="60" t="s">
        <v>39</v>
      </c>
      <c r="D16" s="60" t="s">
        <v>22</v>
      </c>
      <c r="E16" s="61">
        <v>1</v>
      </c>
      <c r="F16" s="62">
        <v>481</v>
      </c>
      <c r="G16" s="63">
        <f t="shared" si="0"/>
        <v>2.9528858166325438E-2</v>
      </c>
      <c r="H16" s="63">
        <f>'Parameter &amp; Regeln'!$B$35/'Parameter &amp; Regeln'!$B$4</f>
        <v>3.8797284190106696E-2</v>
      </c>
      <c r="I16" s="62">
        <f t="shared" si="1"/>
        <v>631.97478176527648</v>
      </c>
      <c r="J16" s="62">
        <f t="shared" si="2"/>
        <v>150.97478176527648</v>
      </c>
      <c r="K16" s="63">
        <f t="shared" si="3"/>
        <v>-9.268426023781258E-3</v>
      </c>
      <c r="L16" s="60" t="str">
        <f>IF(C16="Aktie",IF(K16&gt;'Parameter &amp; Regeln'!B$9,"📉 Reduzieren",IF(K16&lt;-'Parameter &amp; Regeln'!B$9,"📈 Aufstocken","⚖️ Halten")),IF(K16&gt;'Parameter &amp; Regeln'!B$8,"📉 Reduzieren",IF(K16&lt;-'Parameter &amp; Regeln'!B$8,"📈 Aufstocken","⚖️ Halten")))</f>
        <v>⚖️ Halten</v>
      </c>
      <c r="M16" s="74" t="str">
        <f>IF(C16="Aktie",IF(G16&gt;'Parameter &amp; Regeln'!B$10,"🚨 ÜBER CAP","✅ OK"),"")</f>
        <v>✅ OK</v>
      </c>
      <c r="N16" s="81" t="s">
        <v>56</v>
      </c>
      <c r="O16" s="80" t="s">
        <v>57</v>
      </c>
      <c r="P16" s="65">
        <f>IF(C16="Aktie",'Parameter &amp; Regeln'!$B$4*'Parameter &amp; Regeln'!$B$6*Q16/SUMIFS($Q$5:$Q$24,$C$5:$C$24,"Aktie"),IFERROR(VLOOKUP(B16,'Parameter &amp; Regeln'!$A$56:$B$62,2,FALSE),0))</f>
        <v>0</v>
      </c>
      <c r="Q16" s="58">
        <f>IF(OR(C16="ETF",C16="Gold"),H16,IF(C16&lt;&gt;"Aktie",0,IF(OR(LEFT(O16,1)="🔴",LEFT(N16,8)="DEFCON 1"),0,IF(LEFT(N16,8)="DEFCON 2",IFERROR(VLOOKUP(B16,'Parameter &amp; Regeln'!$A$41:$C$53,3,FALSE),0)*'Parameter &amp; Regeln'!$B$27,IFERROR(VLOOKUP(B16,'Parameter &amp; Regeln'!$A$41:$C$53,3,FALSE),0)))))</f>
        <v>0</v>
      </c>
      <c r="R16" s="91" t="str">
        <f>IF(AND(C16="Aktie",OR(LEFT(O16,1)="🔴",LEFT(N16,8)="DEFCON 1")),IF(J16&gt;'Parameter &amp; Regeln'!$B$65,"🚩 FLAG (gesperrt)",""),IF(J16&gt;'Parameter &amp; Regeln'!$B$65,"🛒 Nachkaufen",IF(J16&lt;-'Parameter &amp; Regeln'!$B$65,"⏸️ Über Ziel","")))</f>
        <v/>
      </c>
    </row>
    <row r="17" spans="1:18" ht="16.5" customHeight="1" x14ac:dyDescent="0.25">
      <c r="A17" s="75" t="s">
        <v>58</v>
      </c>
      <c r="B17" s="76" t="s">
        <v>59</v>
      </c>
      <c r="C17" s="76" t="s">
        <v>39</v>
      </c>
      <c r="D17" s="76" t="s">
        <v>22</v>
      </c>
      <c r="E17" s="77">
        <v>0</v>
      </c>
      <c r="F17" s="64">
        <v>432</v>
      </c>
      <c r="G17" s="78">
        <f t="shared" si="0"/>
        <v>2.652072084792638E-2</v>
      </c>
      <c r="H17" s="78">
        <f>'Parameter &amp; Regeln'!$B$37/'Parameter &amp; Regeln'!$B$4</f>
        <v>1.7458777885548012E-2</v>
      </c>
      <c r="I17" s="64">
        <f t="shared" si="1"/>
        <v>284.38865179437437</v>
      </c>
      <c r="J17" s="64">
        <f t="shared" si="2"/>
        <v>-147.61134820562563</v>
      </c>
      <c r="K17" s="78">
        <f t="shared" si="3"/>
        <v>9.0619429623783679E-3</v>
      </c>
      <c r="L17" s="76" t="str">
        <f>IF(C17="Aktie",IF(K17&gt;'Parameter &amp; Regeln'!B$9,"📉 Reduzieren",IF(K17&lt;-'Parameter &amp; Regeln'!B$9,"📈 Aufstocken","⚖️ Halten")),IF(K17&gt;'Parameter &amp; Regeln'!B$8,"📉 Reduzieren",IF(K17&lt;-'Parameter &amp; Regeln'!B$8,"📈 Aufstocken","⚖️ Halten")))</f>
        <v>⚖️ Halten</v>
      </c>
      <c r="M17" s="79" t="str">
        <f>IF(C17="Aktie",IF(G17&gt;'Parameter &amp; Regeln'!B$10,"🚨 ÜBER CAP","✅ OK"),"")</f>
        <v>✅ OK</v>
      </c>
      <c r="N17" s="82" t="s">
        <v>60</v>
      </c>
      <c r="O17" s="82" t="s">
        <v>61</v>
      </c>
      <c r="P17" s="65">
        <f>IF(C17="Aktie",'Parameter &amp; Regeln'!$B$4*'Parameter &amp; Regeln'!$B$6*Q17/SUMIFS($Q$5:$Q$24,$C$5:$C$24,"Aktie"),IFERROR(VLOOKUP(B17,'Parameter &amp; Regeln'!$A$56:$B$62,2,FALSE),0))</f>
        <v>31.195114285714286</v>
      </c>
      <c r="Q17" s="58">
        <f>IF(OR(C17="ETF",C17="Gold"),H17,IF(C17&lt;&gt;"Aktie",0,IF(OR(LEFT(O17,1)="🔴",LEFT(N17,8)="DEFCON 1"),0,IF(LEFT(N17,8)="DEFCON 2",IFERROR(VLOOKUP(B17,'Parameter &amp; Regeln'!$A$41:$C$53,3,FALSE),0)*'Parameter &amp; Regeln'!$B$27,IFERROR(VLOOKUP(B17,'Parameter &amp; Regeln'!$A$41:$C$53,3,FALSE),0)))))</f>
        <v>18</v>
      </c>
      <c r="R17" s="92" t="str">
        <f>IF(AND(C17="Aktie",OR(LEFT(O17,1)="🔴",LEFT(N17,8)="DEFCON 1")),IF(J17&gt;'Parameter &amp; Regeln'!$B$65,"🚩 FLAG (gesperrt)",""),IF(J17&gt;'Parameter &amp; Regeln'!$B$65,"🛒 Nachkaufen",IF(J17&lt;-'Parameter &amp; Regeln'!$B$65,"⏸️ Über Ziel","")))</f>
        <v/>
      </c>
    </row>
    <row r="18" spans="1:18" ht="16.5" customHeight="1" x14ac:dyDescent="0.25">
      <c r="A18" s="59" t="s">
        <v>62</v>
      </c>
      <c r="B18" s="60" t="s">
        <v>63</v>
      </c>
      <c r="C18" s="60" t="s">
        <v>39</v>
      </c>
      <c r="D18" s="60" t="s">
        <v>22</v>
      </c>
      <c r="E18" s="61">
        <v>0</v>
      </c>
      <c r="F18" s="62">
        <v>0</v>
      </c>
      <c r="G18" s="63">
        <f t="shared" si="0"/>
        <v>0</v>
      </c>
      <c r="H18" s="63">
        <f>'Parameter &amp; Regeln'!$B$36/'Parameter &amp; Regeln'!$B$4</f>
        <v>3.1037827352085354E-2</v>
      </c>
      <c r="I18" s="62">
        <f t="shared" si="1"/>
        <v>505.57982541222111</v>
      </c>
      <c r="J18" s="62">
        <f t="shared" si="2"/>
        <v>505.57982541222111</v>
      </c>
      <c r="K18" s="63">
        <f t="shared" si="3"/>
        <v>-3.1037827352085354E-2</v>
      </c>
      <c r="L18" s="60" t="str">
        <f>IF(C18="Aktie",IF(K18&gt;'Parameter &amp; Regeln'!B$9,"📉 Reduzieren",IF(K18&lt;-'Parameter &amp; Regeln'!B$9,"📈 Aufstocken","⚖️ Halten")),IF(K18&gt;'Parameter &amp; Regeln'!B$8,"📉 Reduzieren",IF(K18&lt;-'Parameter &amp; Regeln'!B$8,"📈 Aufstocken","⚖️ Halten")))</f>
        <v>⚖️ Halten</v>
      </c>
      <c r="M18" s="74" t="str">
        <f>IF(C18="Aktie",IF(G18&gt;'Parameter &amp; Regeln'!B$10,"🚨 ÜBER CAP","✅ OK"),"")</f>
        <v>✅ OK</v>
      </c>
      <c r="N18" s="82" t="s">
        <v>64</v>
      </c>
      <c r="O18" s="82" t="s">
        <v>53</v>
      </c>
      <c r="P18" s="65">
        <f>IF(C18="Aktie",'Parameter &amp; Regeln'!$B$4*'Parameter &amp; Regeln'!$B$6*Q18/SUMIFS($Q$5:$Q$24,$C$5:$C$24,"Aktie"),IFERROR(VLOOKUP(B18,'Parameter &amp; Regeln'!$A$56:$B$62,2,FALSE),0))</f>
        <v>55.45798095238095</v>
      </c>
      <c r="Q18" s="58">
        <f>IF(OR(C18="ETF",C18="Gold"),H18,IF(C18&lt;&gt;"Aktie",0,IF(OR(LEFT(O18,1)="🔴",LEFT(N18,8)="DEFCON 1"),0,IF(LEFT(N18,8)="DEFCON 2",IFERROR(VLOOKUP(B18,'Parameter &amp; Regeln'!$A$41:$C$53,3,FALSE),0)*'Parameter &amp; Regeln'!$B$27,IFERROR(VLOOKUP(B18,'Parameter &amp; Regeln'!$A$41:$C$53,3,FALSE),0)))))</f>
        <v>32</v>
      </c>
      <c r="R18" s="91" t="str">
        <f>IF(AND(C18="Aktie",OR(LEFT(O18,1)="🔴",LEFT(N18,8)="DEFCON 1")),IF(J18&gt;'Parameter &amp; Regeln'!$B$65,"🚩 FLAG (gesperrt)",""),IF(J18&gt;'Parameter &amp; Regeln'!$B$65,"🛒 Nachkaufen",IF(J18&lt;-'Parameter &amp; Regeln'!$B$65,"⏸️ Über Ziel","")))</f>
        <v>🛒 Nachkaufen</v>
      </c>
    </row>
    <row r="19" spans="1:18" ht="16.5" customHeight="1" x14ac:dyDescent="0.25">
      <c r="A19" s="75" t="s">
        <v>65</v>
      </c>
      <c r="B19" s="76" t="s">
        <v>66</v>
      </c>
      <c r="C19" s="76" t="s">
        <v>39</v>
      </c>
      <c r="D19" s="76" t="s">
        <v>22</v>
      </c>
      <c r="E19" s="77">
        <v>1</v>
      </c>
      <c r="F19" s="64">
        <v>412</v>
      </c>
      <c r="G19" s="78">
        <f t="shared" si="0"/>
        <v>2.5292909697559419E-2</v>
      </c>
      <c r="H19" s="78">
        <f>'Parameter &amp; Regeln'!$B$35/'Parameter &amp; Regeln'!$B$4</f>
        <v>3.8797284190106696E-2</v>
      </c>
      <c r="I19" s="64">
        <f t="shared" si="1"/>
        <v>631.97478176527648</v>
      </c>
      <c r="J19" s="64">
        <f t="shared" si="2"/>
        <v>219.97478176527648</v>
      </c>
      <c r="K19" s="78">
        <f t="shared" si="3"/>
        <v>-1.3504374492547277E-2</v>
      </c>
      <c r="L19" s="76" t="str">
        <f>IF(C19="Aktie",IF(K19&gt;'Parameter &amp; Regeln'!B$9,"📉 Reduzieren",IF(K19&lt;-'Parameter &amp; Regeln'!B$9,"📈 Aufstocken","⚖️ Halten")),IF(K19&gt;'Parameter &amp; Regeln'!B$8,"📉 Reduzieren",IF(K19&lt;-'Parameter &amp; Regeln'!B$8,"📈 Aufstocken","⚖️ Halten")))</f>
        <v>⚖️ Halten</v>
      </c>
      <c r="M19" s="79" t="str">
        <f>IF(C19="Aktie",IF(G19&gt;'Parameter &amp; Regeln'!B$10,"🚨 ÜBER CAP","✅ OK"),"")</f>
        <v>✅ OK</v>
      </c>
      <c r="N19" s="81" t="s">
        <v>67</v>
      </c>
      <c r="O19" s="80" t="s">
        <v>68</v>
      </c>
      <c r="P19" s="65">
        <f>IF(C19="Aktie",'Parameter &amp; Regeln'!$B$4*'Parameter &amp; Regeln'!$B$6*Q19/SUMIFS($Q$5:$Q$24,$C$5:$C$24,"Aktie"),IFERROR(VLOOKUP(B19,'Parameter &amp; Regeln'!$A$56:$B$62,2,FALSE),0))</f>
        <v>0</v>
      </c>
      <c r="Q19" s="58">
        <f>IF(OR(C19="ETF",C19="Gold"),H19,IF(C19&lt;&gt;"Aktie",0,IF(OR(LEFT(O19,1)="🔴",LEFT(N19,8)="DEFCON 1"),0,IF(LEFT(N19,8)="DEFCON 2",IFERROR(VLOOKUP(B19,'Parameter &amp; Regeln'!$A$41:$C$53,3,FALSE),0)*'Parameter &amp; Regeln'!$B$27,IFERROR(VLOOKUP(B19,'Parameter &amp; Regeln'!$A$41:$C$53,3,FALSE),0)))))</f>
        <v>0</v>
      </c>
      <c r="R19" s="92" t="str">
        <f>IF(AND(C19="Aktie",OR(LEFT(O19,1)="🔴",LEFT(N19,8)="DEFCON 1")),IF(J19&gt;'Parameter &amp; Regeln'!$B$65,"🚩 FLAG (gesperrt)",""),IF(J19&gt;'Parameter &amp; Regeln'!$B$65,"🛒 Nachkaufen",IF(J19&lt;-'Parameter &amp; Regeln'!$B$65,"⏸️ Über Ziel","")))</f>
        <v/>
      </c>
    </row>
    <row r="20" spans="1:18" ht="16.5" customHeight="1" x14ac:dyDescent="0.25">
      <c r="A20" s="59" t="s">
        <v>69</v>
      </c>
      <c r="B20" s="60" t="s">
        <v>70</v>
      </c>
      <c r="C20" s="60" t="s">
        <v>39</v>
      </c>
      <c r="D20" s="60" t="s">
        <v>22</v>
      </c>
      <c r="E20" s="61">
        <v>0</v>
      </c>
      <c r="F20" s="62">
        <v>420</v>
      </c>
      <c r="G20" s="63">
        <f t="shared" si="0"/>
        <v>2.5784034157706203E-2</v>
      </c>
      <c r="H20" s="63">
        <f>'Parameter &amp; Regeln'!$B$37/'Parameter &amp; Regeln'!$B$4</f>
        <v>1.7458777885548012E-2</v>
      </c>
      <c r="I20" s="62">
        <f t="shared" si="1"/>
        <v>284.38865179437437</v>
      </c>
      <c r="J20" s="62">
        <f t="shared" si="2"/>
        <v>-135.61134820562563</v>
      </c>
      <c r="K20" s="63">
        <f t="shared" si="3"/>
        <v>8.3252562721581914E-3</v>
      </c>
      <c r="L20" s="60" t="str">
        <f>IF(C20="Aktie",IF(K20&gt;'Parameter &amp; Regeln'!B$9,"📉 Reduzieren",IF(K20&lt;-'Parameter &amp; Regeln'!B$9,"📈 Aufstocken","⚖️ Halten")),IF(K20&gt;'Parameter &amp; Regeln'!B$8,"📉 Reduzieren",IF(K20&lt;-'Parameter &amp; Regeln'!B$8,"📈 Aufstocken","⚖️ Halten")))</f>
        <v>⚖️ Halten</v>
      </c>
      <c r="M20" s="74" t="str">
        <f>IF(C20="Aktie",IF(G20&gt;'Parameter &amp; Regeln'!B$10,"🚨 ÜBER CAP","✅ OK"),"")</f>
        <v>✅ OK</v>
      </c>
      <c r="N20" s="82" t="s">
        <v>71</v>
      </c>
      <c r="O20" s="82" t="s">
        <v>53</v>
      </c>
      <c r="P20" s="65">
        <f>IF(C20="Aktie",'Parameter &amp; Regeln'!$B$4*'Parameter &amp; Regeln'!$B$6*Q20/SUMIFS($Q$5:$Q$24,$C$5:$C$24,"Aktie"),IFERROR(VLOOKUP(B20,'Parameter &amp; Regeln'!$A$56:$B$62,2,FALSE),0))</f>
        <v>31.195114285714286</v>
      </c>
      <c r="Q20" s="58">
        <f>IF(OR(C20="ETF",C20="Gold"),H20,IF(C20&lt;&gt;"Aktie",0,IF(OR(LEFT(O20,1)="🔴",LEFT(N20,8)="DEFCON 1"),0,IF(LEFT(N20,8)="DEFCON 2",IFERROR(VLOOKUP(B20,'Parameter &amp; Regeln'!$A$41:$C$53,3,FALSE),0)*'Parameter &amp; Regeln'!$B$27,IFERROR(VLOOKUP(B20,'Parameter &amp; Regeln'!$A$41:$C$53,3,FALSE),0)))))</f>
        <v>18</v>
      </c>
      <c r="R20" s="91" t="str">
        <f>IF(AND(C20="Aktie",OR(LEFT(O20,1)="🔴",LEFT(N20,8)="DEFCON 1")),IF(J20&gt;'Parameter &amp; Regeln'!$B$65,"🚩 FLAG (gesperrt)",""),IF(J20&gt;'Parameter &amp; Regeln'!$B$65,"🛒 Nachkaufen",IF(J20&lt;-'Parameter &amp; Regeln'!$B$65,"⏸️ Über Ziel","")))</f>
        <v/>
      </c>
    </row>
    <row r="21" spans="1:18" ht="16.5" customHeight="1" x14ac:dyDescent="0.25">
      <c r="A21" s="75" t="s">
        <v>72</v>
      </c>
      <c r="B21" s="76" t="s">
        <v>73</v>
      </c>
      <c r="C21" s="76" t="s">
        <v>39</v>
      </c>
      <c r="D21" s="76" t="s">
        <v>22</v>
      </c>
      <c r="E21" s="77">
        <v>1</v>
      </c>
      <c r="F21" s="64">
        <v>954</v>
      </c>
      <c r="G21" s="78">
        <f t="shared" si="0"/>
        <v>5.8566591872504091E-2</v>
      </c>
      <c r="H21" s="78">
        <f>'Parameter &amp; Regeln'!$B$35/'Parameter &amp; Regeln'!$B$4</f>
        <v>3.8797284190106696E-2</v>
      </c>
      <c r="I21" s="64">
        <f t="shared" si="1"/>
        <v>631.97478176527648</v>
      </c>
      <c r="J21" s="64">
        <f t="shared" si="2"/>
        <v>-322.02521823472352</v>
      </c>
      <c r="K21" s="78">
        <f t="shared" si="3"/>
        <v>1.9769307682397395E-2</v>
      </c>
      <c r="L21" s="76" t="str">
        <f>IF(C21="Aktie",IF(K21&gt;'Parameter &amp; Regeln'!B$9,"📉 Reduzieren",IF(K21&lt;-'Parameter &amp; Regeln'!B$9,"📈 Aufstocken","⚖️ Halten")),IF(K21&gt;'Parameter &amp; Regeln'!B$8,"📉 Reduzieren",IF(K21&lt;-'Parameter &amp; Regeln'!B$8,"📈 Aufstocken","⚖️ Halten")))</f>
        <v>⚖️ Halten</v>
      </c>
      <c r="M21" s="79" t="str">
        <f>IF(C21="Aktie",IF(G21&gt;'Parameter &amp; Regeln'!B$10,"🚨 ÜBER CAP","✅ OK"),"")</f>
        <v>✅ OK</v>
      </c>
      <c r="N21" s="82" t="s">
        <v>74</v>
      </c>
      <c r="O21" s="82" t="s">
        <v>53</v>
      </c>
      <c r="P21" s="65">
        <f>IF(C21="Aktie",'Parameter &amp; Regeln'!$B$4*'Parameter &amp; Regeln'!$B$6*Q21/SUMIFS($Q$5:$Q$24,$C$5:$C$24,"Aktie"),IFERROR(VLOOKUP(B21,'Parameter &amp; Regeln'!$A$56:$B$62,2,FALSE),0))</f>
        <v>69.322476190476181</v>
      </c>
      <c r="Q21" s="58">
        <f>IF(OR(C21="ETF",C21="Gold"),H21,IF(C21&lt;&gt;"Aktie",0,IF(OR(LEFT(O21,1)="🔴",LEFT(N21,8)="DEFCON 1"),0,IF(LEFT(N21,8)="DEFCON 2",IFERROR(VLOOKUP(B21,'Parameter &amp; Regeln'!$A$41:$C$53,3,FALSE),0)*'Parameter &amp; Regeln'!$B$27,IFERROR(VLOOKUP(B21,'Parameter &amp; Regeln'!$A$41:$C$53,3,FALSE),0)))))</f>
        <v>40</v>
      </c>
      <c r="R21" s="92" t="str">
        <f>IF(AND(C21="Aktie",OR(LEFT(O21,1)="🔴",LEFT(N21,8)="DEFCON 1")),IF(J21&gt;'Parameter &amp; Regeln'!$B$65,"🚩 FLAG (gesperrt)",""),IF(J21&gt;'Parameter &amp; Regeln'!$B$65,"🛒 Nachkaufen",IF(J21&lt;-'Parameter &amp; Regeln'!$B$65,"⏸️ Über Ziel","")))</f>
        <v>⏸️ Über Ziel</v>
      </c>
    </row>
    <row r="22" spans="1:18" ht="18.75" customHeight="1" x14ac:dyDescent="0.25">
      <c r="A22" s="59" t="s">
        <v>75</v>
      </c>
      <c r="B22" s="60" t="s">
        <v>76</v>
      </c>
      <c r="C22" s="60" t="s">
        <v>39</v>
      </c>
      <c r="D22" s="60" t="s">
        <v>22</v>
      </c>
      <c r="E22" s="61">
        <v>1</v>
      </c>
      <c r="F22" s="62">
        <v>396</v>
      </c>
      <c r="G22" s="63">
        <f t="shared" si="0"/>
        <v>2.431066077726585E-2</v>
      </c>
      <c r="H22" s="63">
        <f>'Parameter &amp; Regeln'!$B$37/'Parameter &amp; Regeln'!$B$4</f>
        <v>1.7458777885548012E-2</v>
      </c>
      <c r="I22" s="62">
        <f t="shared" si="1"/>
        <v>284.38865179437437</v>
      </c>
      <c r="J22" s="62">
        <f t="shared" si="2"/>
        <v>-111.61134820562563</v>
      </c>
      <c r="K22" s="63">
        <f t="shared" si="3"/>
        <v>6.8518828917178386E-3</v>
      </c>
      <c r="L22" s="60" t="str">
        <f>IF(C22="Aktie",IF(K22&gt;'Parameter &amp; Regeln'!B$9,"📉 Reduzieren",IF(K22&lt;-'Parameter &amp; Regeln'!B$9,"📈 Aufstocken","⚖️ Halten")),IF(K22&gt;'Parameter &amp; Regeln'!B$8,"📉 Reduzieren",IF(K22&lt;-'Parameter &amp; Regeln'!B$8,"📈 Aufstocken","⚖️ Halten")))</f>
        <v>⚖️ Halten</v>
      </c>
      <c r="M22" s="74" t="str">
        <f>IF(C22="Aktie",IF(G22&gt;'Parameter &amp; Regeln'!B$10,"🚨 ÜBER CAP","✅ OK"),"")</f>
        <v>✅ OK</v>
      </c>
      <c r="N22" s="82" t="s">
        <v>77</v>
      </c>
      <c r="O22" s="83" t="s">
        <v>78</v>
      </c>
      <c r="P22" s="65">
        <f>IF(C22="Aktie",'Parameter &amp; Regeln'!$B$4*'Parameter &amp; Regeln'!$B$6*Q22/SUMIFS($Q$5:$Q$24,$C$5:$C$24,"Aktie"),IFERROR(VLOOKUP(B22,'Parameter &amp; Regeln'!$A$56:$B$62,2,FALSE),0))</f>
        <v>31.195114285714286</v>
      </c>
      <c r="Q22" s="58">
        <f>IF(OR(C22="ETF",C22="Gold"),H22,IF(C22&lt;&gt;"Aktie",0,IF(OR(LEFT(O22,1)="🔴",LEFT(N22,8)="DEFCON 1"),0,IF(LEFT(N22,8)="DEFCON 2",IFERROR(VLOOKUP(B22,'Parameter &amp; Regeln'!$A$41:$C$53,3,FALSE),0)*'Parameter &amp; Regeln'!$B$27,IFERROR(VLOOKUP(B22,'Parameter &amp; Regeln'!$A$41:$C$53,3,FALSE),0)))))</f>
        <v>18</v>
      </c>
      <c r="R22" s="91" t="str">
        <f>IF(AND(C22="Aktie",OR(LEFT(O22,1)="🔴",LEFT(N22,8)="DEFCON 1")),IF(J22&gt;'Parameter &amp; Regeln'!$B$65,"🚩 FLAG (gesperrt)",""),IF(J22&gt;'Parameter &amp; Regeln'!$B$65,"🛒 Nachkaufen",IF(J22&lt;-'Parameter &amp; Regeln'!$B$65,"⏸️ Über Ziel","")))</f>
        <v/>
      </c>
    </row>
    <row r="23" spans="1:18" ht="18.75" customHeight="1" x14ac:dyDescent="0.25">
      <c r="A23" s="75" t="s">
        <v>79</v>
      </c>
      <c r="B23" s="76" t="s">
        <v>80</v>
      </c>
      <c r="C23" s="76" t="s">
        <v>39</v>
      </c>
      <c r="D23" s="76" t="s">
        <v>22</v>
      </c>
      <c r="E23" s="77">
        <v>1</v>
      </c>
      <c r="F23" s="64">
        <v>479</v>
      </c>
      <c r="G23" s="78">
        <f t="shared" si="0"/>
        <v>2.9406077051288743E-2</v>
      </c>
      <c r="H23" s="78">
        <f>'Parameter &amp; Regeln'!$B$36/'Parameter &amp; Regeln'!$B$4</f>
        <v>3.1037827352085354E-2</v>
      </c>
      <c r="I23" s="64">
        <f t="shared" si="1"/>
        <v>505.57982541222111</v>
      </c>
      <c r="J23" s="64">
        <f t="shared" si="2"/>
        <v>26.579825412221112</v>
      </c>
      <c r="K23" s="78">
        <f t="shared" si="3"/>
        <v>-1.6317503007966111E-3</v>
      </c>
      <c r="L23" s="76" t="str">
        <f>IF(C23="Aktie",IF(K23&gt;'Parameter &amp; Regeln'!B$9,"📉 Reduzieren",IF(K23&lt;-'Parameter &amp; Regeln'!B$9,"📈 Aufstocken","⚖️ Halten")),IF(K23&gt;'Parameter &amp; Regeln'!B$8,"📉 Reduzieren",IF(K23&lt;-'Parameter &amp; Regeln'!B$8,"📈 Aufstocken","⚖️ Halten")))</f>
        <v>⚖️ Halten</v>
      </c>
      <c r="M23" s="79" t="str">
        <f>IF(C23="Aktie",IF(G23&gt;'Parameter &amp; Regeln'!B$10,"🚨 ÜBER CAP","✅ OK"),"")</f>
        <v>✅ OK</v>
      </c>
      <c r="N23" s="81" t="s">
        <v>81</v>
      </c>
      <c r="O23" s="81" t="s">
        <v>82</v>
      </c>
      <c r="P23" s="65">
        <f>IF(C23="Aktie",'Parameter &amp; Regeln'!$B$4*'Parameter &amp; Regeln'!$B$6*Q23/SUMIFS($Q$5:$Q$24,$C$5:$C$24,"Aktie"),IFERROR(VLOOKUP(B23,'Parameter &amp; Regeln'!$A$56:$B$62,2,FALSE),0))</f>
        <v>27.728990476190475</v>
      </c>
      <c r="Q23" s="58">
        <f>IF(OR(C23="ETF",C23="Gold"),H23,IF(C23&lt;&gt;"Aktie",0,IF(OR(LEFT(O23,1)="🔴",LEFT(N23,8)="DEFCON 1"),0,IF(LEFT(N23,8)="DEFCON 2",IFERROR(VLOOKUP(B23,'Parameter &amp; Regeln'!$A$41:$C$53,3,FALSE),0)*'Parameter &amp; Regeln'!$B$27,IFERROR(VLOOKUP(B23,'Parameter &amp; Regeln'!$A$41:$C$53,3,FALSE),0)))))</f>
        <v>16</v>
      </c>
      <c r="R23" s="92" t="str">
        <f>IF(AND(C23="Aktie",OR(LEFT(O23,1)="🔴",LEFT(N23,8)="DEFCON 1")),IF(J23&gt;'Parameter &amp; Regeln'!$B$65,"🚩 FLAG (gesperrt)",""),IF(J23&gt;'Parameter &amp; Regeln'!$B$65,"🛒 Nachkaufen",IF(J23&lt;-'Parameter &amp; Regeln'!$B$65,"⏸️ Über Ziel","")))</f>
        <v/>
      </c>
    </row>
    <row r="24" spans="1:18" ht="18.75" customHeight="1" x14ac:dyDescent="0.25">
      <c r="A24" s="59" t="s">
        <v>83</v>
      </c>
      <c r="B24" s="60" t="s">
        <v>84</v>
      </c>
      <c r="C24" s="60" t="s">
        <v>39</v>
      </c>
      <c r="D24" s="60" t="s">
        <v>22</v>
      </c>
      <c r="E24" s="61">
        <v>1</v>
      </c>
      <c r="F24" s="62">
        <v>428</v>
      </c>
      <c r="G24" s="63">
        <f t="shared" si="0"/>
        <v>2.6275158617852987E-2</v>
      </c>
      <c r="H24" s="63">
        <f>'Parameter &amp; Regeln'!$B$37/'Parameter &amp; Regeln'!$B$4</f>
        <v>1.7458777885548012E-2</v>
      </c>
      <c r="I24" s="62">
        <f t="shared" si="1"/>
        <v>284.38865179437437</v>
      </c>
      <c r="J24" s="62">
        <f t="shared" si="2"/>
        <v>-143.61134820562563</v>
      </c>
      <c r="K24" s="63">
        <f t="shared" si="3"/>
        <v>8.8163807323049757E-3</v>
      </c>
      <c r="L24" s="60" t="str">
        <f>IF(C24="Aktie",IF(K24&gt;'Parameter &amp; Regeln'!B$9,"📉 Reduzieren",IF(K24&lt;-'Parameter &amp; Regeln'!B$9,"📈 Aufstocken","⚖️ Halten")),IF(K24&gt;'Parameter &amp; Regeln'!B$8,"📉 Reduzieren",IF(K24&lt;-'Parameter &amp; Regeln'!B$8,"📈 Aufstocken","⚖️ Halten")))</f>
        <v>⚖️ Halten</v>
      </c>
      <c r="M24" s="74" t="str">
        <f>IF(C24="Aktie",IF(G24&gt;'Parameter &amp; Regeln'!B$10,"🚨 ÜBER CAP","✅ OK"),"")</f>
        <v>✅ OK</v>
      </c>
      <c r="N24" s="82" t="s">
        <v>74</v>
      </c>
      <c r="O24" s="82" t="s">
        <v>53</v>
      </c>
      <c r="P24" s="65">
        <f>IF(C24="Aktie",'Parameter &amp; Regeln'!$B$4*'Parameter &amp; Regeln'!$B$6*Q24/SUMIFS($Q$5:$Q$24,$C$5:$C$24,"Aktie"),IFERROR(VLOOKUP(B24,'Parameter &amp; Regeln'!$A$56:$B$62,2,FALSE),0))</f>
        <v>31.195114285714286</v>
      </c>
      <c r="Q24" s="58">
        <f>IF(OR(C24="ETF",C24="Gold"),H24,IF(C24&lt;&gt;"Aktie",0,IF(OR(LEFT(O24,1)="🔴",LEFT(N24,8)="DEFCON 1"),0,IF(LEFT(N24,8)="DEFCON 2",IFERROR(VLOOKUP(B24,'Parameter &amp; Regeln'!$A$41:$C$53,3,FALSE),0)*'Parameter &amp; Regeln'!$B$27,IFERROR(VLOOKUP(B24,'Parameter &amp; Regeln'!$A$41:$C$53,3,FALSE),0)))))</f>
        <v>18</v>
      </c>
      <c r="R24" s="91" t="str">
        <f>IF(AND(C24="Aktie",OR(LEFT(O24,1)="🔴",LEFT(N24,8)="DEFCON 1")),IF(J24&gt;'Parameter &amp; Regeln'!$B$65,"🚩 FLAG (gesperrt)",""),IF(J24&gt;'Parameter &amp; Regeln'!$B$65,"🛒 Nachkaufen",IF(J24&lt;-'Parameter &amp; Regeln'!$B$65,"⏸️ Über Ziel","")))</f>
        <v/>
      </c>
    </row>
    <row r="25" spans="1:18" ht="16.5" customHeight="1" x14ac:dyDescent="0.25">
      <c r="A25" s="14" t="s">
        <v>85</v>
      </c>
      <c r="B25" s="15"/>
      <c r="C25" s="15"/>
      <c r="D25" s="15"/>
      <c r="E25" s="15"/>
      <c r="F25" s="16">
        <f>SUM(F5:F24)</f>
        <v>15258.15</v>
      </c>
      <c r="G25" s="17">
        <f>SUM(G5:G24)</f>
        <v>0.93670633519858315</v>
      </c>
      <c r="H25" s="17">
        <f>SUM(H5:H24)</f>
        <v>1.0000000000000002</v>
      </c>
      <c r="I25" s="16">
        <f>SUM(I5:I24)</f>
        <v>16289.15</v>
      </c>
      <c r="J25" s="16">
        <f>ROUND(SUM(J5:J24),2)</f>
        <v>1031</v>
      </c>
      <c r="K25" s="17">
        <f t="array" ref="K25">SUMPRODUCT((C5:C24="Aktie")*ABS(K5:K24))/COUNTIF(C5:C24,"Aktie")</f>
        <v>1.1008731759278781E-2</v>
      </c>
      <c r="L25" s="14" t="s">
        <v>86</v>
      </c>
      <c r="M25" s="18">
        <f>COUNTIF(M5:M24,"🚨 ÜBER CAP")</f>
        <v>0</v>
      </c>
      <c r="N25" s="19">
        <f>COUNTIF(N5:N24,"DEFCON 1*")+COUNTIF(N5:N24,"DEFCON 2*")+COUNTIF(N5:N24,"DEFCON 3*")</f>
        <v>13</v>
      </c>
      <c r="O25" s="19">
        <f>COUNTIF(O5:O24,"🚩*")+COUNTIF(O5:O24,"🔴*")</f>
        <v>4</v>
      </c>
      <c r="P25" s="16">
        <f>SUMIF(C5:C24,"Aktie",P5:P24)+SUMIF(C5:C24,"&lt;&gt;Aktie",P5:P24)</f>
        <v>1030.943</v>
      </c>
    </row>
    <row r="26" spans="1:18" ht="16.5" customHeight="1" x14ac:dyDescent="0.25">
      <c r="K26" s="20">
        <f t="array" ref="K26">SUMPRODUCT((C5:C24&lt;&gt;"Aktie")*ABS(K5:K24))/COUNTIF(C5:C24,"&lt;&gt;Aktie")</f>
        <v>3.4534433948613212E-2</v>
      </c>
      <c r="L26" s="21" t="s">
        <v>87</v>
      </c>
      <c r="M26" s="22">
        <f>COUNTIF(M5:M11,"🚨 ÜBER CAP")</f>
        <v>0</v>
      </c>
      <c r="N26" s="23" t="s">
        <v>88</v>
      </c>
      <c r="O26" s="23" t="s">
        <v>89</v>
      </c>
      <c r="P26" s="24" t="s">
        <v>90</v>
      </c>
    </row>
    <row r="27" spans="1:18" ht="16.5" customHeight="1" x14ac:dyDescent="0.25">
      <c r="A27" s="25" t="s">
        <v>91</v>
      </c>
      <c r="F27" s="26">
        <v>74.3</v>
      </c>
    </row>
    <row r="28" spans="1:18" ht="16.5" customHeight="1" x14ac:dyDescent="0.25">
      <c r="A28" s="27" t="s">
        <v>92</v>
      </c>
      <c r="F28" s="28">
        <v>1031</v>
      </c>
    </row>
    <row r="29" spans="1:18" ht="16.5" customHeight="1" x14ac:dyDescent="0.25">
      <c r="A29" s="25" t="s">
        <v>93</v>
      </c>
      <c r="F29" s="29">
        <f>F25 + F28</f>
        <v>16289.15</v>
      </c>
    </row>
    <row r="30" spans="1:18" x14ac:dyDescent="0.25">
      <c r="A30" s="27" t="s">
        <v>94</v>
      </c>
      <c r="F30" s="30">
        <f>SUMIFS(P5:P24,D5:D24,"ING")</f>
        <v>411</v>
      </c>
    </row>
    <row r="31" spans="1:18" x14ac:dyDescent="0.25">
      <c r="A31" s="66" t="s">
        <v>95</v>
      </c>
      <c r="F31" s="67">
        <f>IF((F28-F30)&lt;=0,0,F27/(F28-F30))</f>
        <v>0.11983870967741934</v>
      </c>
    </row>
    <row r="33" spans="1:2" x14ac:dyDescent="0.25">
      <c r="A33" s="72" t="s">
        <v>96</v>
      </c>
    </row>
    <row r="34" spans="1:2" x14ac:dyDescent="0.25">
      <c r="A34" s="87" t="s">
        <v>97</v>
      </c>
      <c r="B34" s="88" t="s">
        <v>98</v>
      </c>
    </row>
    <row r="35" spans="1:2" x14ac:dyDescent="0.25">
      <c r="A35" s="87" t="s">
        <v>99</v>
      </c>
      <c r="B35" s="88" t="s">
        <v>100</v>
      </c>
    </row>
    <row r="36" spans="1:2" x14ac:dyDescent="0.25">
      <c r="A36" s="87" t="s">
        <v>101</v>
      </c>
      <c r="B36" s="88" t="s">
        <v>102</v>
      </c>
    </row>
  </sheetData>
  <mergeCells count="2">
    <mergeCell ref="A1:P1"/>
    <mergeCell ref="A2:P2"/>
  </mergeCells>
  <conditionalFormatting sqref="H25">
    <cfRule type="expression" dxfId="17" priority="36">
      <formula>ABS($H$25-1)&gt;0.0001</formula>
    </cfRule>
  </conditionalFormatting>
  <conditionalFormatting sqref="L5:L24">
    <cfRule type="expression" dxfId="16" priority="23">
      <formula>NOT(ISERROR(SEARCH("Reduzieren",L5)))</formula>
    </cfRule>
    <cfRule type="expression" dxfId="15" priority="24">
      <formula>NOT(ISERROR(SEARCH("Aufstocken",L5)))</formula>
    </cfRule>
    <cfRule type="expression" dxfId="14" priority="25">
      <formula>NOT(ISERROR(SEARCH("Halten",L5)))</formula>
    </cfRule>
  </conditionalFormatting>
  <conditionalFormatting sqref="M5:M24">
    <cfRule type="expression" dxfId="13" priority="5">
      <formula>NOT(ISERROR(SEARCH("ÜBER CAP",M5)))</formula>
    </cfRule>
    <cfRule type="expression" dxfId="12" priority="6">
      <formula>NOT(ISERROR(SEARCH("OK",M5)))</formula>
    </cfRule>
  </conditionalFormatting>
  <conditionalFormatting sqref="N12:N24">
    <cfRule type="containsText" dxfId="11" priority="26" operator="containsText" text="DEFCON 1">
      <formula>NOT(ISERROR(SEARCH("DEFCON 1",N12)))</formula>
    </cfRule>
    <cfRule type="containsText" dxfId="10" priority="27" operator="containsText" text="DEFCON 2">
      <formula>NOT(ISERROR(SEARCH("DEFCON 2",N12)))</formula>
    </cfRule>
    <cfRule type="containsText" dxfId="9" priority="28" operator="containsText" text="DEFCON 3">
      <formula>NOT(ISERROR(SEARCH("DEFCON 3",N12)))</formula>
    </cfRule>
  </conditionalFormatting>
  <conditionalFormatting sqref="O12:O24">
    <cfRule type="containsText" dxfId="8" priority="29" operator="containsText" text="🔴">
      <formula>NOT(ISERROR(SEARCH("🔴",O12)))</formula>
    </cfRule>
    <cfRule type="containsText" dxfId="7" priority="30" operator="containsText" text="🟠">
      <formula>NOT(ISERROR(SEARCH("🟠",O12)))</formula>
    </cfRule>
    <cfRule type="containsText" dxfId="6" priority="31" operator="containsText" text="🟡">
      <formula>NOT(ISERROR(SEARCH("🟡",O12)))</formula>
    </cfRule>
    <cfRule type="containsText" dxfId="5" priority="32" operator="containsText" text="✅">
      <formula>NOT(ISERROR(SEARCH("✅",O12)))</formula>
    </cfRule>
  </conditionalFormatting>
  <conditionalFormatting sqref="P5:P24">
    <cfRule type="expression" dxfId="4" priority="15">
      <formula>P5=""</formula>
    </cfRule>
  </conditionalFormatting>
  <conditionalFormatting sqref="R5:R24">
    <cfRule type="containsText" dxfId="3" priority="33" operator="containsText" text="Nachkaufen">
      <formula>NOT(ISERROR(SEARCH("Nachkaufen",R5)))</formula>
    </cfRule>
    <cfRule type="containsText" dxfId="2" priority="34" operator="containsText" text="Über Ziel">
      <formula>NOT(ISERROR(SEARCH("Über Ziel",R5)))</formula>
    </cfRule>
    <cfRule type="containsText" dxfId="1" priority="35" operator="containsText" text="FLAG">
      <formula>NOT(ISERROR(SEARCH("FLAG",R5)))</formula>
    </cfRule>
  </conditionalFormatting>
  <conditionalFormatting sqref="K5:K24">
    <cfRule type="dataBar" priority="37">
      <dataBar>
        <cfvo type="min"/>
        <cfvo type="max"/>
        <color rgb="FF63BE7B"/>
      </dataBar>
      <extLst>
        <ext xmlns:x14="http://schemas.microsoft.com/office/spreadsheetml/2009/9/main" uri="{B025F937-C7B1-47D3-B67F-A62EFF666E3E}">
          <x14:id>{BB3AE596-CA44-4F4A-94BC-647855B5C8CF}</x14:id>
        </ext>
      </extLst>
    </cfRule>
  </conditionalFormatting>
  <dataValidations count="4">
    <dataValidation type="list" allowBlank="1" showInputMessage="1" showErrorMessage="1" errorTitle="Ungültiger Typ" error="Nur Gold, ETF oder Aktie erlaubt." sqref="C5:C24" xr:uid="{00000000-0002-0000-0000-000000000000}">
      <formula1>"Gold,ETF,Aktie"</formula1>
    </dataValidation>
    <dataValidation type="list" allowBlank="1" showInputMessage="1" showErrorMessage="1" errorTitle="Ungültiger Broker" error="Nur ING oder Scalable erlaubt." sqref="D5:D24" xr:uid="{00000000-0002-0000-0000-000001000000}">
      <formula1>"ING,Scalable"</formula1>
    </dataValidation>
    <dataValidation type="decimal" allowBlank="1" showInputMessage="1" showErrorMessage="1" errorTitle="Ungültiger US-Faktor" error="US-Faktor muss zwischen 0 und 1 liegen." sqref="E5:E24" xr:uid="{00000000-0002-0000-0000-000002000000}">
      <formula1>0</formula1>
      <formula2>1</formula2>
    </dataValidation>
    <dataValidation type="custom" errorStyle="warning" allowBlank="1" showInputMessage="1" showErrorMessage="1" errorTitle="DEFCON-Format prüfen" error="Eintrag muss mit 'DEFCON 1'..'DEFCON 4' beginnen." sqref="N5:N24" xr:uid="{00000000-0002-0000-0000-000003000000}">
      <formula1>OR(N5="",LEFT(N5,8)="DEFCON 1",LEFT(N5,8)="DEFCON 2",LEFT(N5,8)="DEFCON 3",LEFT(N5,8)="DEFCON 4")</formula1>
    </dataValidation>
  </dataValidations>
  <printOptions horizontalCentered="1"/>
  <pageMargins left="0.25" right="0.25" top="0.30555555555555558" bottom="0.30555555555555558" header="0.5" footer="0.5"/>
  <pageSetup paperSize="9" scale="23" orientation="landscape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3AE596-CA44-4F4A-94BC-647855B5C8CF}">
            <x14:dataBar minLength="0" maxLength="100" border="1" direction="leftToRight" negativeBarBorderColorSameAsPositive="0">
              <x14:cfvo type="min"/>
              <x14:cfvo type="max"/>
              <x14:borderColor rgb="FF4CAF6E"/>
              <x14:negativeFillColor rgb="FFF8696B"/>
              <x14:negativeBorderColor rgb="FFE15759"/>
              <x14:axisColor rgb="FFBFBFBF"/>
            </x14:dataBar>
          </x14:cfRule>
          <xm:sqref>K5:K24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>
      <selection activeCell="E43" sqref="E43"/>
    </sheetView>
  </sheetViews>
  <sheetFormatPr baseColWidth="10" defaultColWidth="9.140625" defaultRowHeight="15" x14ac:dyDescent="0.25"/>
  <cols>
    <col min="1" max="1" width="22.42578125" customWidth="1"/>
    <col min="2" max="2" width="12" customWidth="1"/>
    <col min="3" max="3" width="14" customWidth="1"/>
    <col min="4" max="4" width="12" customWidth="1"/>
    <col min="5" max="5" width="14" customWidth="1"/>
  </cols>
  <sheetData>
    <row r="1" spans="1:5" ht="18.75" customHeight="1" x14ac:dyDescent="0.3">
      <c r="A1" s="31" t="s">
        <v>103</v>
      </c>
    </row>
    <row r="3" spans="1:5" x14ac:dyDescent="0.25">
      <c r="A3" s="32" t="s">
        <v>1</v>
      </c>
      <c r="B3" s="32" t="s">
        <v>2</v>
      </c>
      <c r="C3" s="32" t="s">
        <v>104</v>
      </c>
      <c r="D3" s="32" t="s">
        <v>105</v>
      </c>
      <c r="E3" s="32" t="s">
        <v>106</v>
      </c>
    </row>
    <row r="4" spans="1:5" x14ac:dyDescent="0.25">
      <c r="A4" s="33" t="str">
        <f>'Portfolio &amp; Rebalancing'!A5</f>
        <v>EUWAX Gold</v>
      </c>
      <c r="B4" s="34" t="str">
        <f>'Portfolio &amp; Rebalancing'!B5</f>
        <v>EWG2</v>
      </c>
      <c r="C4" s="35">
        <f>'Portfolio &amp; Rebalancing'!F5</f>
        <v>654</v>
      </c>
      <c r="D4" s="36">
        <f>'Portfolio &amp; Rebalancing'!E5</f>
        <v>0</v>
      </c>
      <c r="E4" s="35">
        <f t="shared" ref="E4:E23" si="0">C4*D4</f>
        <v>0</v>
      </c>
    </row>
    <row r="5" spans="1:5" x14ac:dyDescent="0.25">
      <c r="A5" s="33" t="str">
        <f>'Portfolio &amp; Rebalancing'!A6</f>
        <v>iShares Core MSCI World</v>
      </c>
      <c r="B5" s="34" t="str">
        <f>'Portfolio &amp; Rebalancing'!B6</f>
        <v>IWDA</v>
      </c>
      <c r="C5" s="35">
        <f>'Portfolio &amp; Rebalancing'!F6</f>
        <v>3943.46</v>
      </c>
      <c r="D5" s="36">
        <f>'Portfolio &amp; Rebalancing'!E6</f>
        <v>0.7</v>
      </c>
      <c r="E5" s="35">
        <f t="shared" si="0"/>
        <v>2760.422</v>
      </c>
    </row>
    <row r="6" spans="1:5" x14ac:dyDescent="0.25">
      <c r="A6" s="33" t="str">
        <f>'Portfolio &amp; Rebalancing'!A7</f>
        <v>iShares Core MSCI EM IMI</v>
      </c>
      <c r="B6" s="34" t="str">
        <f>'Portfolio &amp; Rebalancing'!B7</f>
        <v>EIMI</v>
      </c>
      <c r="C6" s="35">
        <f>'Portfolio &amp; Rebalancing'!F7</f>
        <v>1349.52</v>
      </c>
      <c r="D6" s="36">
        <f>'Portfolio &amp; Rebalancing'!E7</f>
        <v>0</v>
      </c>
      <c r="E6" s="35">
        <f t="shared" si="0"/>
        <v>0</v>
      </c>
    </row>
    <row r="7" spans="1:5" x14ac:dyDescent="0.25">
      <c r="A7" s="33" t="str">
        <f>'Portfolio &amp; Rebalancing'!A8</f>
        <v>Xtrackers MSCI World ex USA</v>
      </c>
      <c r="B7" s="34" t="str">
        <f>'Portfolio &amp; Rebalancing'!B8</f>
        <v>EXUS</v>
      </c>
      <c r="C7" s="35">
        <f>'Portfolio &amp; Rebalancing'!F8</f>
        <v>1978.17</v>
      </c>
      <c r="D7" s="36">
        <f>'Portfolio &amp; Rebalancing'!E8</f>
        <v>0</v>
      </c>
      <c r="E7" s="35">
        <f t="shared" si="0"/>
        <v>0</v>
      </c>
    </row>
    <row r="8" spans="1:5" x14ac:dyDescent="0.25">
      <c r="A8" s="33" t="str">
        <f>'Portfolio &amp; Rebalancing'!A9</f>
        <v>Avantis Global Small Cap Value</v>
      </c>
      <c r="B8" s="34" t="str">
        <f>'Portfolio &amp; Rebalancing'!B9</f>
        <v>AVGC</v>
      </c>
      <c r="C8" s="35">
        <f>'Portfolio &amp; Rebalancing'!F9</f>
        <v>1366</v>
      </c>
      <c r="D8" s="36">
        <f>'Portfolio &amp; Rebalancing'!E9</f>
        <v>0.67</v>
      </c>
      <c r="E8" s="35">
        <f t="shared" si="0"/>
        <v>915.22</v>
      </c>
    </row>
    <row r="9" spans="1:5" x14ac:dyDescent="0.25">
      <c r="A9" s="33" t="str">
        <f>'Portfolio &amp; Rebalancing'!A10</f>
        <v>VanEck Space Innovators</v>
      </c>
      <c r="B9" s="34" t="str">
        <f>'Portfolio &amp; Rebalancing'!B10</f>
        <v>JEDI</v>
      </c>
      <c r="C9" s="35">
        <f>'Portfolio &amp; Rebalancing'!F10</f>
        <v>0</v>
      </c>
      <c r="D9" s="36">
        <f>'Portfolio &amp; Rebalancing'!E10</f>
        <v>0.62</v>
      </c>
      <c r="E9" s="35">
        <f t="shared" si="0"/>
        <v>0</v>
      </c>
    </row>
    <row r="10" spans="1:5" x14ac:dyDescent="0.25">
      <c r="A10" s="33" t="str">
        <f>'Portfolio &amp; Rebalancing'!A11</f>
        <v>WisdomTree Quantum Computing</v>
      </c>
      <c r="B10" s="34" t="str">
        <f>'Portfolio &amp; Rebalancing'!B11</f>
        <v>WQTM</v>
      </c>
      <c r="C10" s="35">
        <f>'Portfolio &amp; Rebalancing'!F11</f>
        <v>193</v>
      </c>
      <c r="D10" s="36">
        <f>'Portfolio &amp; Rebalancing'!E11</f>
        <v>0.68</v>
      </c>
      <c r="E10" s="35">
        <f t="shared" si="0"/>
        <v>131.24</v>
      </c>
    </row>
    <row r="11" spans="1:5" x14ac:dyDescent="0.25">
      <c r="A11" s="33" t="str">
        <f>'Portfolio &amp; Rebalancing'!A12</f>
        <v>Amazon.com</v>
      </c>
      <c r="B11" s="34" t="str">
        <f>'Portfolio &amp; Rebalancing'!B12</f>
        <v>AMZN</v>
      </c>
      <c r="C11" s="35">
        <f>'Portfolio &amp; Rebalancing'!F12</f>
        <v>381</v>
      </c>
      <c r="D11" s="36">
        <f>'Portfolio &amp; Rebalancing'!E12</f>
        <v>1</v>
      </c>
      <c r="E11" s="35">
        <f t="shared" si="0"/>
        <v>381</v>
      </c>
    </row>
    <row r="12" spans="1:5" x14ac:dyDescent="0.25">
      <c r="A12" s="33" t="str">
        <f>'Portfolio &amp; Rebalancing'!A13</f>
        <v>Amphenol</v>
      </c>
      <c r="B12" s="34" t="str">
        <f>'Portfolio &amp; Rebalancing'!B13</f>
        <v>APH</v>
      </c>
      <c r="C12" s="35">
        <f>'Portfolio &amp; Rebalancing'!F13</f>
        <v>378</v>
      </c>
      <c r="D12" s="36">
        <f>'Portfolio &amp; Rebalancing'!E13</f>
        <v>1</v>
      </c>
      <c r="E12" s="35">
        <f t="shared" si="0"/>
        <v>378</v>
      </c>
    </row>
    <row r="13" spans="1:5" x14ac:dyDescent="0.25">
      <c r="A13" s="33" t="str">
        <f>'Portfolio &amp; Rebalancing'!A14</f>
        <v>ASML Holding</v>
      </c>
      <c r="B13" s="34" t="str">
        <f>'Portfolio &amp; Rebalancing'!B14</f>
        <v>ASML</v>
      </c>
      <c r="C13" s="35">
        <f>'Portfolio &amp; Rebalancing'!F14</f>
        <v>560</v>
      </c>
      <c r="D13" s="36">
        <f>'Portfolio &amp; Rebalancing'!E14</f>
        <v>0</v>
      </c>
      <c r="E13" s="35">
        <f t="shared" si="0"/>
        <v>0</v>
      </c>
    </row>
    <row r="14" spans="1:5" x14ac:dyDescent="0.25">
      <c r="A14" s="33" t="str">
        <f>'Portfolio &amp; Rebalancing'!A15</f>
        <v>Berkshire Hathaway</v>
      </c>
      <c r="B14" s="34" t="str">
        <f>'Portfolio &amp; Rebalancing'!B15</f>
        <v>BRK.B</v>
      </c>
      <c r="C14" s="35">
        <f>'Portfolio &amp; Rebalancing'!F15</f>
        <v>453</v>
      </c>
      <c r="D14" s="36">
        <f>'Portfolio &amp; Rebalancing'!E15</f>
        <v>1</v>
      </c>
      <c r="E14" s="35">
        <f t="shared" si="0"/>
        <v>453</v>
      </c>
    </row>
    <row r="15" spans="1:5" x14ac:dyDescent="0.25">
      <c r="A15" s="33" t="str">
        <f>'Portfolio &amp; Rebalancing'!A16</f>
        <v>Broadcom</v>
      </c>
      <c r="B15" s="34" t="str">
        <f>'Portfolio &amp; Rebalancing'!B16</f>
        <v>AVGO</v>
      </c>
      <c r="C15" s="35">
        <f>'Portfolio &amp; Rebalancing'!F16</f>
        <v>481</v>
      </c>
      <c r="D15" s="36">
        <f>'Portfolio &amp; Rebalancing'!E16</f>
        <v>1</v>
      </c>
      <c r="E15" s="35">
        <f t="shared" si="0"/>
        <v>481</v>
      </c>
    </row>
    <row r="16" spans="1:5" x14ac:dyDescent="0.25">
      <c r="A16" s="33" t="str">
        <f>'Portfolio &amp; Rebalancing'!A17</f>
        <v>Hermès</v>
      </c>
      <c r="B16" s="34" t="str">
        <f>'Portfolio &amp; Rebalancing'!B17</f>
        <v>RMS</v>
      </c>
      <c r="C16" s="35">
        <f>'Portfolio &amp; Rebalancing'!F17</f>
        <v>432</v>
      </c>
      <c r="D16" s="36">
        <f>'Portfolio &amp; Rebalancing'!E17</f>
        <v>0</v>
      </c>
      <c r="E16" s="35">
        <f t="shared" si="0"/>
        <v>0</v>
      </c>
    </row>
    <row r="17" spans="1:5" x14ac:dyDescent="0.25">
      <c r="A17" s="33" t="str">
        <f>'Portfolio &amp; Rebalancing'!A18</f>
        <v>Keyence</v>
      </c>
      <c r="B17" s="34" t="str">
        <f>'Portfolio &amp; Rebalancing'!B18</f>
        <v>KYCCF</v>
      </c>
      <c r="C17" s="35">
        <f>'Portfolio &amp; Rebalancing'!F18</f>
        <v>0</v>
      </c>
      <c r="D17" s="36">
        <f>'Portfolio &amp; Rebalancing'!E18</f>
        <v>0</v>
      </c>
      <c r="E17" s="35">
        <f t="shared" si="0"/>
        <v>0</v>
      </c>
    </row>
    <row r="18" spans="1:5" x14ac:dyDescent="0.25">
      <c r="A18" s="33" t="str">
        <f>'Portfolio &amp; Rebalancing'!A19</f>
        <v>Microsoft</v>
      </c>
      <c r="B18" s="34" t="str">
        <f>'Portfolio &amp; Rebalancing'!B19</f>
        <v>MSFT</v>
      </c>
      <c r="C18" s="35">
        <f>'Portfolio &amp; Rebalancing'!F19</f>
        <v>412</v>
      </c>
      <c r="D18" s="36">
        <f>'Portfolio &amp; Rebalancing'!E19</f>
        <v>1</v>
      </c>
      <c r="E18" s="35">
        <f t="shared" si="0"/>
        <v>412</v>
      </c>
    </row>
    <row r="19" spans="1:5" x14ac:dyDescent="0.25">
      <c r="A19" s="33" t="str">
        <f>'Portfolio &amp; Rebalancing'!A20</f>
        <v>Schneider Electric</v>
      </c>
      <c r="B19" s="34" t="str">
        <f>'Portfolio &amp; Rebalancing'!B20</f>
        <v>SU</v>
      </c>
      <c r="C19" s="35">
        <f>'Portfolio &amp; Rebalancing'!F20</f>
        <v>420</v>
      </c>
      <c r="D19" s="36">
        <f>'Portfolio &amp; Rebalancing'!E20</f>
        <v>0</v>
      </c>
      <c r="E19" s="35">
        <f t="shared" si="0"/>
        <v>0</v>
      </c>
    </row>
    <row r="20" spans="1:5" x14ac:dyDescent="0.25">
      <c r="A20" s="33" t="str">
        <f>'Portfolio &amp; Rebalancing'!A21</f>
        <v>ServiceNow</v>
      </c>
      <c r="B20" s="34" t="str">
        <f>'Portfolio &amp; Rebalancing'!B21</f>
        <v>NOW</v>
      </c>
      <c r="C20" s="35">
        <f>'Portfolio &amp; Rebalancing'!F21</f>
        <v>954</v>
      </c>
      <c r="D20" s="36">
        <f>'Portfolio &amp; Rebalancing'!E21</f>
        <v>1</v>
      </c>
      <c r="E20" s="35">
        <f t="shared" si="0"/>
        <v>954</v>
      </c>
    </row>
    <row r="21" spans="1:5" x14ac:dyDescent="0.25">
      <c r="A21" s="33" t="str">
        <f>'Portfolio &amp; Rebalancing'!A22</f>
        <v>Thermo Fisher</v>
      </c>
      <c r="B21" s="34" t="str">
        <f>'Portfolio &amp; Rebalancing'!B22</f>
        <v>TMO</v>
      </c>
      <c r="C21" s="35">
        <f>'Portfolio &amp; Rebalancing'!F22</f>
        <v>396</v>
      </c>
      <c r="D21" s="36">
        <f>'Portfolio &amp; Rebalancing'!E22</f>
        <v>1</v>
      </c>
      <c r="E21" s="35">
        <f t="shared" si="0"/>
        <v>396</v>
      </c>
    </row>
    <row r="22" spans="1:5" x14ac:dyDescent="0.25">
      <c r="A22" s="33" t="str">
        <f>'Portfolio &amp; Rebalancing'!A23</f>
        <v>Visa</v>
      </c>
      <c r="B22" s="34" t="str">
        <f>'Portfolio &amp; Rebalancing'!B23</f>
        <v>V</v>
      </c>
      <c r="C22" s="35">
        <f>'Portfolio &amp; Rebalancing'!F23</f>
        <v>479</v>
      </c>
      <c r="D22" s="36">
        <f>'Portfolio &amp; Rebalancing'!E23</f>
        <v>1</v>
      </c>
      <c r="E22" s="35">
        <f t="shared" si="0"/>
        <v>479</v>
      </c>
    </row>
    <row r="23" spans="1:5" x14ac:dyDescent="0.25">
      <c r="A23" s="33" t="str">
        <f>'Portfolio &amp; Rebalancing'!A24</f>
        <v>Zeta Global</v>
      </c>
      <c r="B23" s="34" t="str">
        <f>'Portfolio &amp; Rebalancing'!B24</f>
        <v>ZETA</v>
      </c>
      <c r="C23" s="35">
        <f>'Portfolio &amp; Rebalancing'!F24</f>
        <v>428</v>
      </c>
      <c r="D23" s="36">
        <f>'Portfolio &amp; Rebalancing'!E24</f>
        <v>1</v>
      </c>
      <c r="E23" s="35">
        <f t="shared" si="0"/>
        <v>428</v>
      </c>
    </row>
    <row r="24" spans="1:5" x14ac:dyDescent="0.25">
      <c r="A24" s="37" t="str">
        <f>"GESAMT"</f>
        <v>GESAMT</v>
      </c>
      <c r="C24" s="38">
        <f>'Portfolio &amp; Rebalancing'!F25</f>
        <v>15258.15</v>
      </c>
      <c r="E24" s="38">
        <f>SUM(E4:E23)</f>
        <v>8168.8819999999996</v>
      </c>
    </row>
    <row r="26" spans="1:5" x14ac:dyDescent="0.25">
      <c r="A26" s="37" t="s">
        <v>107</v>
      </c>
      <c r="B26" s="39">
        <f>IF('Portfolio &amp; Rebalancing'!F25=0,0,E24/'Portfolio &amp; Rebalancing'!F25)</f>
        <v>0.53537827325068899</v>
      </c>
    </row>
    <row r="27" spans="1:5" x14ac:dyDescent="0.25">
      <c r="A27" s="37" t="s">
        <v>108</v>
      </c>
      <c r="B27" s="39">
        <f>SUMPRODUCT('Portfolio &amp; Rebalancing'!$E$5:$E$24,'Portfolio &amp; Rebalancing'!$I$5:$I$24)/SUM('Portfolio &amp; Rebalancing'!$I$5:$I$24)</f>
        <v>0.52614936954413194</v>
      </c>
    </row>
    <row r="28" spans="1:5" x14ac:dyDescent="0.25">
      <c r="A28" s="37" t="s">
        <v>109</v>
      </c>
      <c r="B28" s="40">
        <f>'Parameter &amp; Regeln'!B11</f>
        <v>0.63</v>
      </c>
    </row>
    <row r="29" spans="1:5" x14ac:dyDescent="0.25">
      <c r="A29" s="37" t="s">
        <v>110</v>
      </c>
      <c r="B29" s="37" t="str">
        <f>IF(B26&gt;B28,"⛔ ÜBER CAP","✅ OK")</f>
        <v>✅ OK</v>
      </c>
    </row>
    <row r="30" spans="1:5" x14ac:dyDescent="0.25">
      <c r="A30" s="37" t="s">
        <v>111</v>
      </c>
      <c r="B30" s="37" t="str">
        <f>IF(B27&gt;B28,"⛔ ZIEL ÜBER CAP","✅ Ziel OK")</f>
        <v>✅ Ziel OK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5"/>
  <sheetViews>
    <sheetView topLeftCell="A21" workbookViewId="0">
      <selection activeCell="B26" sqref="B26"/>
    </sheetView>
  </sheetViews>
  <sheetFormatPr baseColWidth="10" defaultColWidth="9.140625" defaultRowHeight="15" x14ac:dyDescent="0.25"/>
  <cols>
    <col min="1" max="1" width="47" customWidth="1"/>
    <col min="2" max="2" width="27.7109375" customWidth="1"/>
    <col min="3" max="3" width="37.42578125" customWidth="1"/>
  </cols>
  <sheetData>
    <row r="1" spans="1:3" ht="18.75" customHeight="1" x14ac:dyDescent="0.3">
      <c r="A1" s="31" t="s">
        <v>112</v>
      </c>
    </row>
    <row r="3" spans="1:3" x14ac:dyDescent="0.25">
      <c r="A3" s="32" t="s">
        <v>113</v>
      </c>
      <c r="B3" s="32" t="s">
        <v>114</v>
      </c>
      <c r="C3" s="32" t="s">
        <v>115</v>
      </c>
    </row>
    <row r="4" spans="1:3" x14ac:dyDescent="0.25">
      <c r="A4" s="33" t="s">
        <v>116</v>
      </c>
      <c r="B4" s="41">
        <v>1031</v>
      </c>
      <c r="C4" s="42" t="s">
        <v>117</v>
      </c>
    </row>
    <row r="5" spans="1:3" x14ac:dyDescent="0.25">
      <c r="A5" s="33" t="s">
        <v>118</v>
      </c>
      <c r="B5" s="43">
        <v>0.59699999999999998</v>
      </c>
      <c r="C5" s="42" t="s">
        <v>119</v>
      </c>
    </row>
    <row r="6" spans="1:3" x14ac:dyDescent="0.25">
      <c r="A6" s="33" t="s">
        <v>120</v>
      </c>
      <c r="B6" s="43">
        <v>0.35299999999999998</v>
      </c>
      <c r="C6" s="42" t="s">
        <v>119</v>
      </c>
    </row>
    <row r="7" spans="1:3" x14ac:dyDescent="0.25">
      <c r="A7" s="33" t="s">
        <v>121</v>
      </c>
      <c r="B7" s="43">
        <v>0.05</v>
      </c>
      <c r="C7" s="42" t="s">
        <v>119</v>
      </c>
    </row>
    <row r="8" spans="1:3" x14ac:dyDescent="0.25">
      <c r="A8" s="33" t="s">
        <v>122</v>
      </c>
      <c r="B8" s="44">
        <v>1.4999999999999999E-2</v>
      </c>
      <c r="C8" s="42" t="s">
        <v>119</v>
      </c>
    </row>
    <row r="9" spans="1:3" x14ac:dyDescent="0.25">
      <c r="A9" s="33" t="s">
        <v>123</v>
      </c>
      <c r="B9" s="44">
        <v>0.04</v>
      </c>
      <c r="C9" s="42" t="s">
        <v>119</v>
      </c>
    </row>
    <row r="10" spans="1:3" x14ac:dyDescent="0.25">
      <c r="A10" s="33" t="s">
        <v>124</v>
      </c>
      <c r="B10" s="43">
        <v>0.1</v>
      </c>
      <c r="C10" s="42" t="s">
        <v>119</v>
      </c>
    </row>
    <row r="11" spans="1:3" x14ac:dyDescent="0.25">
      <c r="A11" s="33" t="s">
        <v>109</v>
      </c>
      <c r="B11" s="43">
        <v>0.63</v>
      </c>
      <c r="C11" s="42" t="s">
        <v>119</v>
      </c>
    </row>
    <row r="12" spans="1:3" x14ac:dyDescent="0.25">
      <c r="A12" s="33" t="s">
        <v>125</v>
      </c>
      <c r="B12" s="42">
        <v>13</v>
      </c>
    </row>
    <row r="13" spans="1:3" x14ac:dyDescent="0.25">
      <c r="A13" s="33" t="s">
        <v>126</v>
      </c>
      <c r="B13" s="42">
        <f>COUNTIF('Portfolio &amp; Rebalancing'!C5:C24,"Aktie")</f>
        <v>13</v>
      </c>
    </row>
    <row r="14" spans="1:3" x14ac:dyDescent="0.25">
      <c r="A14" s="33" t="s">
        <v>127</v>
      </c>
      <c r="B14" s="45">
        <f>COUNTIFS('Portfolio &amp; Rebalancing'!A5:A24,"&lt;&gt;",'Portfolio &amp; Rebalancing'!F5:F24,"&gt;0")</f>
        <v>18</v>
      </c>
    </row>
    <row r="15" spans="1:3" x14ac:dyDescent="0.25">
      <c r="A15" s="33" t="s">
        <v>128</v>
      </c>
      <c r="B15" s="45">
        <v>3</v>
      </c>
      <c r="C15" s="42" t="s">
        <v>129</v>
      </c>
    </row>
    <row r="16" spans="1:3" x14ac:dyDescent="0.25">
      <c r="A16" s="33" t="s">
        <v>130</v>
      </c>
      <c r="B16" s="43">
        <f>B5+B6+B7</f>
        <v>1</v>
      </c>
      <c r="C16" s="42" t="s">
        <v>119</v>
      </c>
    </row>
    <row r="17" spans="1:3" ht="15.75" customHeight="1" x14ac:dyDescent="0.25">
      <c r="A17" s="46" t="s">
        <v>131</v>
      </c>
    </row>
    <row r="19" spans="1:3" x14ac:dyDescent="0.25">
      <c r="A19" s="47" t="s">
        <v>132</v>
      </c>
      <c r="B19" s="47" t="s">
        <v>133</v>
      </c>
      <c r="C19" s="47" t="s">
        <v>12</v>
      </c>
    </row>
    <row r="20" spans="1:3" x14ac:dyDescent="0.25">
      <c r="A20" s="33" t="s">
        <v>134</v>
      </c>
      <c r="B20" s="42" t="s">
        <v>135</v>
      </c>
      <c r="C20" s="42" t="s">
        <v>136</v>
      </c>
    </row>
    <row r="21" spans="1:3" x14ac:dyDescent="0.25">
      <c r="A21" s="33" t="s">
        <v>137</v>
      </c>
      <c r="B21" s="42" t="s">
        <v>138</v>
      </c>
      <c r="C21" s="42" t="s">
        <v>139</v>
      </c>
    </row>
    <row r="22" spans="1:3" x14ac:dyDescent="0.25">
      <c r="A22" s="33" t="s">
        <v>140</v>
      </c>
      <c r="B22" s="42" t="s">
        <v>141</v>
      </c>
      <c r="C22" s="42" t="s">
        <v>142</v>
      </c>
    </row>
    <row r="23" spans="1:3" x14ac:dyDescent="0.25">
      <c r="A23" s="33" t="s">
        <v>143</v>
      </c>
      <c r="B23" s="42" t="s">
        <v>144</v>
      </c>
      <c r="C23" s="42" t="s">
        <v>145</v>
      </c>
    </row>
    <row r="25" spans="1:3" x14ac:dyDescent="0.25">
      <c r="A25" s="48" t="s">
        <v>146</v>
      </c>
      <c r="B25" s="54">
        <f>B4*B6</f>
        <v>363.94299999999998</v>
      </c>
      <c r="C25" s="49" t="s">
        <v>117</v>
      </c>
    </row>
    <row r="26" spans="1:3" x14ac:dyDescent="0.25">
      <c r="A26" s="48" t="s">
        <v>147</v>
      </c>
      <c r="B26" s="56">
        <f>COUNTIFS('Portfolio &amp; Rebalancing'!C5:C24,"Aktie",'Portfolio &amp; Rebalancing'!N5:N24,"DEFCON 4*",'Portfolio &amp; Rebalancing'!O5:O24,"&lt;&gt;🔴*")+COUNTIFS('Portfolio &amp; Rebalancing'!C5:C24,"Aktie",'Portfolio &amp; Rebalancing'!N5:N24,"DEFCON 3*",'Portfolio &amp; Rebalancing'!O5:O24,"&lt;&gt;🔴*")</f>
        <v>8</v>
      </c>
    </row>
    <row r="27" spans="1:3" x14ac:dyDescent="0.25">
      <c r="A27" s="50" t="s">
        <v>148</v>
      </c>
      <c r="B27" s="55">
        <v>0.5</v>
      </c>
      <c r="C27" s="53" t="s">
        <v>119</v>
      </c>
    </row>
    <row r="28" spans="1:3" x14ac:dyDescent="0.25">
      <c r="A28" s="51" t="s">
        <v>149</v>
      </c>
    </row>
    <row r="29" spans="1:3" x14ac:dyDescent="0.25">
      <c r="A29" s="50" t="s">
        <v>150</v>
      </c>
      <c r="B29" s="52" t="s">
        <v>151</v>
      </c>
      <c r="C29" s="50" t="s">
        <v>152</v>
      </c>
    </row>
    <row r="30" spans="1:3" x14ac:dyDescent="0.25">
      <c r="A30" s="50" t="s">
        <v>153</v>
      </c>
      <c r="B30" s="52" t="s">
        <v>154</v>
      </c>
      <c r="C30" s="50" t="s">
        <v>155</v>
      </c>
    </row>
    <row r="31" spans="1:3" x14ac:dyDescent="0.25">
      <c r="A31" s="50" t="s">
        <v>156</v>
      </c>
      <c r="B31" s="52" t="s">
        <v>157</v>
      </c>
      <c r="C31" s="50" t="s">
        <v>158</v>
      </c>
    </row>
    <row r="32" spans="1:3" x14ac:dyDescent="0.25">
      <c r="A32" s="50" t="s">
        <v>159</v>
      </c>
      <c r="B32" s="52" t="s">
        <v>157</v>
      </c>
      <c r="C32" s="50" t="s">
        <v>160</v>
      </c>
    </row>
    <row r="34" spans="1:3" x14ac:dyDescent="0.25">
      <c r="A34" s="68" t="s">
        <v>161</v>
      </c>
    </row>
    <row r="35" spans="1:3" x14ac:dyDescent="0.25">
      <c r="A35" s="50" t="s">
        <v>162</v>
      </c>
      <c r="B35" s="69">
        <v>40</v>
      </c>
      <c r="C35" s="50" t="s">
        <v>163</v>
      </c>
    </row>
    <row r="36" spans="1:3" x14ac:dyDescent="0.25">
      <c r="A36" s="50" t="s">
        <v>164</v>
      </c>
      <c r="B36" s="69">
        <v>32</v>
      </c>
      <c r="C36" s="50" t="s">
        <v>165</v>
      </c>
    </row>
    <row r="37" spans="1:3" x14ac:dyDescent="0.25">
      <c r="A37" s="50" t="s">
        <v>166</v>
      </c>
      <c r="B37" s="69">
        <v>18</v>
      </c>
      <c r="C37" s="50" t="s">
        <v>167</v>
      </c>
    </row>
    <row r="39" spans="1:3" x14ac:dyDescent="0.25">
      <c r="A39" s="68" t="s">
        <v>168</v>
      </c>
    </row>
    <row r="40" spans="1:3" x14ac:dyDescent="0.25">
      <c r="A40" s="70" t="s">
        <v>2</v>
      </c>
      <c r="B40" s="71" t="s">
        <v>169</v>
      </c>
      <c r="C40" s="70" t="s">
        <v>170</v>
      </c>
    </row>
    <row r="41" spans="1:3" x14ac:dyDescent="0.25">
      <c r="A41" t="s">
        <v>38</v>
      </c>
      <c r="B41">
        <v>1</v>
      </c>
      <c r="C41">
        <f>$B$35</f>
        <v>40</v>
      </c>
    </row>
    <row r="42" spans="1:3" x14ac:dyDescent="0.25">
      <c r="A42" t="s">
        <v>66</v>
      </c>
      <c r="B42">
        <v>1</v>
      </c>
      <c r="C42">
        <f>$B$35</f>
        <v>40</v>
      </c>
    </row>
    <row r="43" spans="1:3" x14ac:dyDescent="0.25">
      <c r="A43" t="s">
        <v>73</v>
      </c>
      <c r="B43">
        <v>1</v>
      </c>
      <c r="C43">
        <f>$B$35</f>
        <v>40</v>
      </c>
    </row>
    <row r="44" spans="1:3" x14ac:dyDescent="0.25">
      <c r="A44" t="s">
        <v>55</v>
      </c>
      <c r="B44">
        <v>1</v>
      </c>
      <c r="C44">
        <f>$B$35</f>
        <v>40</v>
      </c>
    </row>
    <row r="45" spans="1:3" x14ac:dyDescent="0.25">
      <c r="A45" t="s">
        <v>80</v>
      </c>
      <c r="B45">
        <v>2</v>
      </c>
      <c r="C45">
        <f>$B$36</f>
        <v>32</v>
      </c>
    </row>
    <row r="46" spans="1:3" x14ac:dyDescent="0.25">
      <c r="A46" t="s">
        <v>63</v>
      </c>
      <c r="B46">
        <v>2</v>
      </c>
      <c r="C46">
        <f>$B$36</f>
        <v>32</v>
      </c>
    </row>
    <row r="47" spans="1:3" x14ac:dyDescent="0.25">
      <c r="A47" t="s">
        <v>47</v>
      </c>
      <c r="B47">
        <v>2</v>
      </c>
      <c r="C47">
        <f>$B$36</f>
        <v>32</v>
      </c>
    </row>
    <row r="48" spans="1:3" x14ac:dyDescent="0.25">
      <c r="A48" t="s">
        <v>59</v>
      </c>
      <c r="B48">
        <v>3</v>
      </c>
      <c r="C48">
        <f t="shared" ref="C48:C53" si="0">$B$37</f>
        <v>18</v>
      </c>
    </row>
    <row r="49" spans="1:3" x14ac:dyDescent="0.25">
      <c r="A49" t="s">
        <v>51</v>
      </c>
      <c r="B49">
        <v>3</v>
      </c>
      <c r="C49">
        <f t="shared" si="0"/>
        <v>18</v>
      </c>
    </row>
    <row r="50" spans="1:3" x14ac:dyDescent="0.25">
      <c r="A50" t="s">
        <v>76</v>
      </c>
      <c r="B50">
        <v>3</v>
      </c>
      <c r="C50">
        <f t="shared" si="0"/>
        <v>18</v>
      </c>
    </row>
    <row r="51" spans="1:3" x14ac:dyDescent="0.25">
      <c r="A51" t="s">
        <v>43</v>
      </c>
      <c r="B51">
        <v>3</v>
      </c>
      <c r="C51">
        <f t="shared" si="0"/>
        <v>18</v>
      </c>
    </row>
    <row r="52" spans="1:3" x14ac:dyDescent="0.25">
      <c r="A52" t="s">
        <v>70</v>
      </c>
      <c r="B52">
        <v>3</v>
      </c>
      <c r="C52">
        <f t="shared" si="0"/>
        <v>18</v>
      </c>
    </row>
    <row r="53" spans="1:3" x14ac:dyDescent="0.25">
      <c r="A53" t="s">
        <v>84</v>
      </c>
      <c r="B53">
        <v>3</v>
      </c>
      <c r="C53">
        <f t="shared" si="0"/>
        <v>18</v>
      </c>
    </row>
    <row r="55" spans="1:3" x14ac:dyDescent="0.25">
      <c r="A55" s="72" t="s">
        <v>171</v>
      </c>
    </row>
    <row r="56" spans="1:3" x14ac:dyDescent="0.25">
      <c r="A56" t="s">
        <v>20</v>
      </c>
      <c r="B56" s="73">
        <v>51</v>
      </c>
    </row>
    <row r="57" spans="1:3" x14ac:dyDescent="0.25">
      <c r="A57" t="s">
        <v>24</v>
      </c>
      <c r="B57" s="73">
        <v>206</v>
      </c>
    </row>
    <row r="58" spans="1:3" x14ac:dyDescent="0.25">
      <c r="A58" t="s">
        <v>28</v>
      </c>
      <c r="B58" s="73">
        <v>123</v>
      </c>
    </row>
    <row r="59" spans="1:3" x14ac:dyDescent="0.25">
      <c r="A59" t="s">
        <v>30</v>
      </c>
      <c r="B59" s="73">
        <v>82</v>
      </c>
    </row>
    <row r="60" spans="1:3" x14ac:dyDescent="0.25">
      <c r="A60" t="s">
        <v>32</v>
      </c>
      <c r="B60" s="73">
        <v>82</v>
      </c>
    </row>
    <row r="61" spans="1:3" x14ac:dyDescent="0.25">
      <c r="A61" t="s">
        <v>34</v>
      </c>
      <c r="B61" s="73">
        <v>72</v>
      </c>
    </row>
    <row r="62" spans="1:3" x14ac:dyDescent="0.25">
      <c r="A62" t="s">
        <v>36</v>
      </c>
      <c r="B62" s="73">
        <v>51</v>
      </c>
    </row>
    <row r="64" spans="1:3" x14ac:dyDescent="0.25">
      <c r="A64" s="72" t="s">
        <v>172</v>
      </c>
    </row>
    <row r="65" spans="1:2" x14ac:dyDescent="0.25">
      <c r="A65" t="s">
        <v>173</v>
      </c>
      <c r="B65" s="73">
        <v>300</v>
      </c>
    </row>
  </sheetData>
  <conditionalFormatting sqref="B16">
    <cfRule type="expression" dxfId="0" priority="1">
      <formula>ABS($B$16-1)&gt;0.0001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Portfolio &amp; Rebalancing</vt:lpstr>
      <vt:lpstr>US-Exposure</vt:lpstr>
      <vt:lpstr>Parameter &amp; Regeln</vt:lpstr>
      <vt:lpstr>'Portfolio &amp; Rebalancing'!Druckbereich</vt:lpstr>
      <vt:lpstr>'Portfolio &amp; Rebalancing'!Drucktitel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Kowalski</cp:lastModifiedBy>
  <dcterms:created xsi:type="dcterms:W3CDTF">2026-04-15T01:26:03Z</dcterms:created>
  <dcterms:modified xsi:type="dcterms:W3CDTF">2026-06-15T20:36:13Z</dcterms:modified>
</cp:coreProperties>
</file>