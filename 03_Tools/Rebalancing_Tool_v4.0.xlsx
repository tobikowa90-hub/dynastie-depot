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>
    <definedName name="_xlnm.Print_Titles" localSheetId="0">'Portfolio &amp; Rebalancing'!$4:$4</definedName>
    <definedName name="_xlnm.Print_Area" localSheetId="0">'Portfolio &amp; Rebalancing'!$A$1:$R$31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#,##0.00&quot; €&quot;"/>
    <numFmt numFmtId="166" formatCode="0&quot; Positionen&quot;"/>
  </numFmts>
  <fonts count="35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  <font>
      <name val="Calibri"/>
      <family val="2"/>
      <color theme="1"/>
      <sz val="9.5"/>
      <scheme val="minor"/>
    </font>
    <font>
      <name val="Calibri"/>
      <family val="2"/>
      <color rgb="FF2E4057"/>
      <sz val="9.5"/>
      <scheme val="minor"/>
    </font>
    <font>
      <name val="Calibri"/>
      <family val="2"/>
      <color rgb="FF1F3864"/>
      <sz val="9.5"/>
      <scheme val="minor"/>
    </font>
    <font>
      <name val="Calibri"/>
      <color rgb="FF843C0C"/>
      <sz val="9.5"/>
    </font>
    <font>
      <name val="Calibri"/>
      <color rgb="FF9C0006"/>
      <sz val="9.5"/>
    </font>
    <font>
      <name val="Calibri"/>
      <color rgb="FF276221"/>
      <sz val="9.5"/>
    </font>
    <font>
      <name val="Calibri"/>
      <family val="2"/>
      <color rgb="FF0000FF"/>
      <sz val="11"/>
      <scheme val="minor"/>
    </font>
    <font>
      <name val="Calibri"/>
      <b val="1"/>
      <color rgb="FF0000FF"/>
      <sz val="9.5"/>
      <scheme val="minor"/>
    </font>
    <font>
      <name val="Calibri"/>
      <b val="1"/>
      <color rgb="FFFFFFFF"/>
      <sz val="9"/>
      <scheme val="minor"/>
    </font>
    <font>
      <name val="Calibri"/>
      <b val="1"/>
      <color rgb="FFFFFFFF"/>
      <sz val="10"/>
      <scheme val="minor"/>
    </font>
    <font>
      <name val="Calibri"/>
      <color rgb="FF7F6000"/>
      <sz val="9.5"/>
    </font>
    <font>
      <name val="Calibri"/>
      <b val="1"/>
      <color rgb="FF1F3864"/>
      <sz val="9"/>
      <scheme val="minor"/>
    </font>
    <font>
      <name val="Calibri"/>
      <color rgb="FF333333"/>
      <sz val="9"/>
      <scheme val="minor"/>
    </font>
    <font>
      <name val="Calibri"/>
      <color theme="1"/>
      <sz val="9"/>
      <scheme val="minor"/>
    </font>
    <font>
      <name val="Segoe UI"/>
      <color indexed="81"/>
      <sz val="9"/>
    </font>
    <font>
      <name val="Segoe UI"/>
      <b val="1"/>
      <color indexed="81"/>
      <sz val="9"/>
    </font>
  </fonts>
  <fills count="25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left" vertical="center"/>
    </xf>
    <xf numFmtId="0" fontId="5" fillId="8" borderId="0" pivotButton="0" quotePrefix="0" xfId="0"/>
    <xf numFmtId="164" fontId="5" fillId="8" borderId="0" applyAlignment="1" pivotButton="0" quotePrefix="0" xfId="0">
      <alignment horizontal="right" vertical="center"/>
    </xf>
    <xf numFmtId="10" fontId="5" fillId="8" borderId="0" applyAlignment="1" pivotButton="0" quotePrefix="0" xfId="0">
      <alignment horizontal="right" vertical="center"/>
    </xf>
    <xf numFmtId="164" fontId="5" fillId="8" borderId="0" applyAlignment="1" pivotButton="0" quotePrefix="0" xfId="0">
      <alignment horizontal="center" vertical="center"/>
    </xf>
    <xf numFmtId="1" fontId="5" fillId="8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9" borderId="0" applyAlignment="1" pivotButton="0" quotePrefix="0" xfId="0">
      <alignment horizontal="left" vertical="center"/>
    </xf>
    <xf numFmtId="164" fontId="4" fillId="9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0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1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0" fontId="4" fillId="0" borderId="0" pivotButton="0" quotePrefix="0" xfId="0"/>
    <xf numFmtId="0" fontId="11" fillId="12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0" fontId="3" fillId="13" borderId="0" applyAlignment="1" pivotButton="0" quotePrefix="0" xfId="0">
      <alignment horizontal="center" vertical="center" wrapText="1"/>
    </xf>
    <xf numFmtId="2" fontId="19" fillId="14" borderId="0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7" borderId="0" applyAlignment="1" pivotButton="0" quotePrefix="0" xfId="0">
      <alignment horizontal="center" vertical="center"/>
    </xf>
    <xf numFmtId="2" fontId="4" fillId="17" borderId="0" applyAlignment="1" pivotButton="0" quotePrefix="0" xfId="0">
      <alignment horizontal="right" vertical="center"/>
    </xf>
    <xf numFmtId="164" fontId="4" fillId="17" borderId="0" applyAlignment="1" pivotButton="0" quotePrefix="0" xfId="0">
      <alignment horizontal="right" vertical="center"/>
    </xf>
    <xf numFmtId="10" fontId="4" fillId="17" borderId="0" applyAlignment="1" pivotButton="0" quotePrefix="0" xfId="0">
      <alignment horizontal="right" vertical="center"/>
    </xf>
    <xf numFmtId="164" fontId="4" fillId="16" borderId="0" applyAlignment="1" pivotButton="0" quotePrefix="0" xfId="0">
      <alignment horizontal="right" vertical="center"/>
    </xf>
    <xf numFmtId="164" fontId="4" fillId="14" borderId="0" applyAlignment="1" pivotButton="0" quotePrefix="0" xfId="0">
      <alignment horizontal="right" vertical="center"/>
    </xf>
    <xf numFmtId="0" fontId="20" fillId="18" borderId="0" applyAlignment="1" pivotButton="0" quotePrefix="0" xfId="0">
      <alignment horizontal="left"/>
    </xf>
    <xf numFmtId="9" fontId="21" fillId="18" borderId="0" applyAlignment="1" pivotButton="0" quotePrefix="0" xfId="0">
      <alignment horizontal="right"/>
    </xf>
    <xf numFmtId="0" fontId="11" fillId="19" borderId="0" pivotButton="0" quotePrefix="0" xfId="0"/>
    <xf numFmtId="164" fontId="26" fillId="0" borderId="0" applyAlignment="1" pivotButton="0" quotePrefix="0" xfId="0">
      <alignment horizontal="center"/>
    </xf>
    <xf numFmtId="0" fontId="3" fillId="20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0" fontId="28" fillId="19" borderId="0" pivotButton="0" quotePrefix="0" xfId="0"/>
    <xf numFmtId="164" fontId="25" fillId="0" borderId="0" applyAlignment="1" pivotButton="0" quotePrefix="0" xfId="0">
      <alignment horizontal="center"/>
    </xf>
    <xf numFmtId="164" fontId="4" fillId="17" borderId="0" applyAlignment="1" pivotButton="0" quotePrefix="0" xfId="0">
      <alignment horizontal="center" vertical="center"/>
    </xf>
    <xf numFmtId="0" fontId="4" fillId="16" borderId="0" applyAlignment="1" pivotButton="0" quotePrefix="0" xfId="0">
      <alignment horizontal="left" vertical="center"/>
    </xf>
    <xf numFmtId="0" fontId="4" fillId="16" borderId="0" applyAlignment="1" pivotButton="0" quotePrefix="0" xfId="0">
      <alignment horizontal="center" vertical="center"/>
    </xf>
    <xf numFmtId="2" fontId="4" fillId="16" borderId="0" applyAlignment="1" pivotButton="0" quotePrefix="0" xfId="0">
      <alignment horizontal="right" vertical="center"/>
    </xf>
    <xf numFmtId="10" fontId="4" fillId="16" borderId="0" applyAlignment="1" pivotButton="0" quotePrefix="0" xfId="0">
      <alignment horizontal="right" vertical="center"/>
    </xf>
    <xf numFmtId="164" fontId="4" fillId="16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2" fillId="23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29" fillId="24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/>
    </xf>
    <xf numFmtId="0" fontId="27" fillId="13" borderId="0" applyAlignment="1" pivotButton="0" quotePrefix="0" xfId="0">
      <alignment horizontal="center" wrapText="1"/>
    </xf>
    <xf numFmtId="0" fontId="30" fillId="0" borderId="0" pivotButton="0" quotePrefix="0" xfId="0"/>
    <xf numFmtId="0" fontId="31" fillId="0" borderId="0" pivotButton="0" quotePrefix="0" xfId="0"/>
    <xf numFmtId="0" fontId="27" fillId="14" borderId="0" applyAlignment="1" pivotButton="0" quotePrefix="0" xfId="0">
      <alignment horizontal="center" wrapText="1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164" fontId="4" fillId="15" borderId="0" applyAlignment="1" pivotButton="0" quotePrefix="0" xfId="0">
      <alignment horizontal="center" vertical="center"/>
    </xf>
    <xf numFmtId="164" fontId="4" fillId="1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4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9"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843C0C"/>
      </font>
      <fill>
        <patternFill patternType="solid">
          <fgColor indexed="64"/>
          <bgColor rgb="FFFCE4D6"/>
        </patternFill>
      </fill>
    </dxf>
    <dxf>
      <font>
        <b val="1"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Tobias Kowalski</author>
  </authors>
  <commentList>
    <comment ref="F5" authorId="0" shapeId="0">
      <text>
        <t>Tobias Kowalski:
💱 FX: EUR-nativ (EUWAX Gold, Handel &amp; Abrechnung in EUR) — kein Währungsrisiko auf Depotwert-Ebene.</t>
      </text>
    </comment>
    <comment ref="F6" authorId="0" shapeId="0">
      <text>
        <t>Tobias Kowalski:
💱 FX: EUR-gehandelt (Xetra). Underlying USD-dominiert — interne FX-Exposure über US-Faktor (Sp. E = 0,70) approximiert. Stichtag Depotwert: [eintragen].</t>
      </text>
    </comment>
    <comment ref="F7" authorId="0" shapeId="0">
      <text>
        <t>Tobias Kowalski:
💱 FX: EUR-gehandelt (Xetra). Underlying EM-Währungen gemischt — interne FX-Exposure über US-Faktor (Sp. E = 0,00) approximiert. Stichtag Depotwert: [eintragen].</t>
      </text>
    </comment>
    <comment ref="F8" authorId="0" shapeId="0">
      <text>
        <t>Tobias Kowalski:
💱 FX: EUR-gehandelt (Xetra). Underlying ex-US (EUR/JPY/GBP u.a.) — US-Faktor (Sp. E = 0,00). Stichtag Depotwert: [eintragen].</t>
      </text>
    </comment>
    <comment ref="F9" authorId="0" shapeId="0">
      <text>
        <t>Tobias Kowalski:
💱 FX: EUR-gehandelt (Xetra). Underlying global gemischt — US-Faktor (Sp. E = 0,67). Stichtag Depotwert: [eintragen].</t>
      </text>
    </comment>
    <comment ref="E10" authorId="0" shapeId="0">
      <text>
        <t>Tobias Kowalski:
US-Faktor geschätzt nach Fonds-Länderanteil (Top-Holdings Rocket Lab, Planet Labs, AST SpaceMobile – überwiegend US). Quelle: Fidelity/justETF Fondsprofil, ISIN IE000YU9K6K2, Stand 06/2026. Bei Bedarf feinjustieren.</t>
      </text>
    </comment>
    <comment ref="F10" authorId="0" shapeId="0">
      <text>
        <t>Tobias Kowalski:
💱 FX: EUR-gehandelt (Xetra). Underlying US-dominiert — US-Faktor (Sp. E = 0,62). Stichtag Depotwert: [eintragen].</t>
      </text>
    </comment>
    <comment ref="E11" authorId="0" shapeId="0">
      <text>
        <t>Tobias Kowalski:
US-Faktor geschätzt nach Fonds-Länderanteil (Quantum-Index überwiegend US: Rigetti, IonQ, D-Wave, IBM, QUBT). Quelle: WisdomTree/justETF Fondsprofil, ISIN IE000W8WMSL2, Stand 06/2026. Bei Bedarf feinjustieren.</t>
      </text>
    </comment>
    <comment ref="F11" authorId="0" shapeId="0">
      <text>
        <t>Tobias Kowalski:
💱 FX: EUR-gehandelt (Xetra). Underlying US-dominiert — US-Faktor (Sp. E = 0,68). Stichtag Depotwert: [eintragen].</t>
      </text>
    </comment>
    <comment ref="F12" authorId="0" shapeId="0">
      <text>
        <t>Tobias Kowalski:
💱 FX: Basiswährung USD (Amazon, NASDAQ). EUR-Depotwert währungsabhängig. USD/EUR-Kurs: [eintragen] · Stichtag: [eintragen] · Quelle: [eintragen].</t>
      </text>
    </comment>
    <comment ref="F13" authorId="0" shapeId="0">
      <text>
        <t>Tobias Kowalski:
💱 FX: Basiswährung USD (Amphenol, NYSE). EUR-Depotwert währungsabhängig. USD/EUR-Kurs: [eintragen] · Stichtag: [eintragen] · Quelle: [eintragen].</t>
      </text>
    </comment>
    <comment ref="F14" authorId="0" shapeId="0">
      <text>
        <t>Tobias Kowalski:
💱 FX: EUR-nativ (ASML, Euronext Amsterdam) — kein Währungsrisiko auf Depotwert-Ebene.</t>
      </text>
    </comment>
    <comment ref="F15" authorId="0" shapeId="0">
      <text>
        <t>Tobias Kowalski:
💱 FX: Basiswährung USD (Berkshire B, NYSE). EUR-Depotwert währungsabhängig. USD/EUR-Kurs: [eintragen] · Stichtag: [eintragen] · Quelle: [eintragen].</t>
      </text>
    </comment>
    <comment ref="F16" authorId="0" shapeId="0">
      <text>
        <t>Tobias Kowalski:
💱 FX: Basiswährung USD (Broadcom, NASDAQ). EUR-Depotwert währungsabhängig. USD/EUR-Kurs: [eintragen] · Stichtag: [eintragen] · Quelle: [eintragen].</t>
      </text>
    </comment>
    <comment ref="E17" authorId="0" shapeId="0">
      <text>
        <t>Tobias Kowalski:
US-Faktor 0 – Keyence Corp ist ein japanisches Unternehmen (OTC-ADR in USA, KYCCF/KYCCY). Kein US-Exposure.</t>
      </text>
    </comment>
    <comment ref="F17" authorId="0" shapeId="0">
      <text>
        <t>Tobias Kowalski:
💱 FX: EUR-nativ (Hermès, Euronext Paris) — kein Währungsrisiko auf Depotwert-Ebene.</t>
      </text>
    </comment>
    <comment ref="F18" authorId="0" shapeId="0">
      <text>
        <t>Tobias Kowalski:
💱 FX: Basiswährung JPY (Keyence, Tokio; KYCCF = US-OTC-ADR). EUR-Depotwert währungsabhängig. JPY/EUR-Kurs: [eintragen] · Stichtag: [eintragen] · Quelle: [eintragen].</t>
      </text>
    </comment>
    <comment ref="F19" authorId="0" shapeId="0">
      <text>
        <t>Tobias Kowalski:
💱 FX: Basiswährung USD (Microsoft, NASDAQ). EUR-Depotwert währungsabhängig. USD/EUR-Kurs: [eintragen] · Stichtag: [eintragen] · Quelle: [eintragen].</t>
      </text>
    </comment>
    <comment ref="F20" authorId="0" shapeId="0">
      <text>
        <t>Tobias Kowalski:
💱 FX: EUR-nativ (Schneider Electric, Euronext Paris) — kein Währungsrisiko auf Depotwert-Ebene.</t>
      </text>
    </comment>
    <comment ref="F21" authorId="0" shapeId="0">
      <text>
        <t>Tobias Kowalski:
💱 FX: Basiswährung USD (ServiceNow, NYSE). EUR-Depotwert währungsabhängig. USD/EUR-Kurs: [eintragen] · Stichtag: [eintragen] · Quelle: [eintragen].</t>
      </text>
    </comment>
    <comment ref="F22" authorId="0" shapeId="0">
      <text>
        <t>Tobias Kowalski:
💱 FX: Basiswährung USD (Thermo Fisher, NYSE). EUR-Depotwert währungsabhängig. USD/EUR-Kurs: [eintragen] · Stichtag: [eintragen] · Quelle: [eintragen].</t>
      </text>
    </comment>
    <comment ref="F23" authorId="0" shapeId="0">
      <text>
        <t>Tobias Kowalski:
💱 FX: Basiswährung USD (Visa, NYSE). EUR-Depotwert währungsabhängig. USD/EUR-Kurs: [eintragen] · Stichtag: [eintragen] · Quelle: [eintragen].</t>
      </text>
    </comment>
    <comment ref="F24" authorId="0" shapeId="0">
      <text>
        <t>Tobias Kowalski:
💱 FX: Basiswährung USD (Zeta Global, NYSE). EUR-Depotwert währungsabhängig. USD/EUR-Kurs: [eintragen] · Stichtag: [eintragen] · Quelle: [eintragen].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tabSelected="1" workbookViewId="0">
      <selection activeCell="J11" sqref="J11"/>
    </sheetView>
  </sheetViews>
  <sheetFormatPr baseColWidth="10" defaultColWidth="9.140625" defaultRowHeight="15"/>
  <cols>
    <col width="31.140625" customWidth="1" style="96" min="1" max="1"/>
    <col width="8" customWidth="1" style="96" min="2" max="3"/>
    <col width="10" customWidth="1" style="96" min="4" max="4"/>
    <col width="9" customWidth="1" style="96" min="5" max="5"/>
    <col width="13" customWidth="1" style="96" min="6" max="6"/>
    <col width="11" customWidth="1" style="96" min="7" max="7"/>
    <col width="8" customWidth="1" style="96" min="8" max="8"/>
    <col width="13" customWidth="1" style="96" min="9" max="9"/>
    <col width="8" customWidth="1" style="96" min="10" max="10"/>
    <col width="12" customWidth="1" style="96" min="11" max="11"/>
    <col width="16" customWidth="1" style="96" min="12" max="12"/>
    <col width="8" customWidth="1" style="96" min="13" max="13"/>
    <col width="40.42578125" customWidth="1" style="96" min="14" max="14"/>
    <col width="116.42578125" customWidth="1" style="96" min="15" max="15"/>
    <col width="31.7109375" customWidth="1" style="96" min="16" max="16"/>
    <col outlineLevel="1" width="9.140625" customWidth="1" style="96" min="17" max="17"/>
    <col width="17.140625" customWidth="1" style="96" min="18" max="18"/>
  </cols>
  <sheetData>
    <row r="1" ht="25.5" customHeight="1" s="96">
      <c r="A1" s="95" t="inlineStr">
        <is>
          <t>🦅 DYNASTIE-DEPOT – Rebalancing Tool v4.0</t>
        </is>
      </c>
    </row>
    <row r="2" ht="13.5" customHeight="1" s="96">
      <c r="A2" s="97">
        <f>TODAY()</f>
        <v/>
      </c>
    </row>
    <row r="3" ht="3.75" customHeight="1" s="96"/>
    <row r="4" ht="36" customHeight="1" s="96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  <c r="Q4" s="57" t="inlineStr">
        <is>
          <t>Gewicht</t>
        </is>
      </c>
      <c r="R4" s="86" t="inlineStr">
        <is>
          <t>🛒 Nachkauf-
Signal</t>
        </is>
      </c>
    </row>
    <row r="5" ht="16.5" customHeight="1" s="96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630</v>
      </c>
      <c r="G5" s="6">
        <f>IF(F$29=0,0,F5/F$29)</f>
        <v/>
      </c>
      <c r="H5" s="6">
        <f>VLOOKUP($B5,'Parameter &amp; Regeln'!$A$56:$B$62,2,FALSE)/'Parameter &amp; Regeln'!$B$4</f>
        <v/>
      </c>
      <c r="I5" s="5">
        <f>H5*F$29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94">
        <f>IF(C5="Aktie",IF(G5&gt;'Parameter &amp; Regeln'!B$10,"🚨 ÜBER CAP","✅ OK"),"")</f>
        <v/>
      </c>
      <c r="N5" s="84" t="n"/>
      <c r="O5" s="84" t="n"/>
      <c r="P5" s="65">
        <f>IF(C5="Aktie",'Parameter &amp; Regeln'!$B$4*'Parameter &amp; Regeln'!$B$6*Q5/SUMIFS($Q$5:$Q$24,$C$5:$C$24,"Aktie"),IFERROR(VLOOKUP(B5,'Parameter &amp; Regeln'!$A$56:$B$62,2,FALSE),0))</f>
        <v/>
      </c>
      <c r="Q5" s="58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/>
      </c>
      <c r="R5" s="89">
        <f>IF(AND(C5="Aktie",OR(LEFT(O5,1)="🔴",LEFT(N5,8)="DEFCON 1")),IF(J5&gt;'Parameter &amp; Regeln'!$B$65,"🚩 FLAG (gesperrt)",""),IF(J5&gt;'Parameter &amp; Regeln'!$B$65,"🛒 Nachkaufen",IF(J5&lt;-'Parameter &amp; Regeln'!$B$65,"⏸️ Über Ziel","")))</f>
        <v/>
      </c>
    </row>
    <row r="6" ht="16.5" customHeight="1" s="96">
      <c r="A6" s="7" t="inlineStr">
        <is>
          <t>iShares Core MSCI World</t>
        </is>
      </c>
      <c r="B6" s="8" t="inlineStr">
        <is>
          <t>IWDA</t>
        </is>
      </c>
      <c r="C6" s="8" t="inlineStr">
        <is>
          <t>ETF</t>
        </is>
      </c>
      <c r="D6" s="8" t="inlineStr">
        <is>
          <t>ING</t>
        </is>
      </c>
      <c r="E6" s="9" t="n">
        <v>0.7</v>
      </c>
      <c r="F6" s="10" t="n">
        <v>3943.46</v>
      </c>
      <c r="G6" s="11">
        <f>IF(F$29=0,0,F6/F$29)</f>
        <v/>
      </c>
      <c r="H6" s="6">
        <f>VLOOKUP($B6,'Parameter &amp; Regeln'!$A$56:$B$62,2,FALSE)/'Parameter &amp; Regeln'!$B$4</f>
        <v/>
      </c>
      <c r="I6" s="10">
        <f>H6*F$29</f>
        <v/>
      </c>
      <c r="J6" s="10">
        <f>I6-F6</f>
        <v/>
      </c>
      <c r="K6" s="11">
        <f>G6-H6</f>
        <v/>
      </c>
      <c r="L6" s="8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2">
        <f>IF(C6="Aktie",IF(G6&gt;'Parameter &amp; Regeln'!B$10,"🚨 ÜBER CAP","✅ OK"),"")</f>
        <v/>
      </c>
      <c r="N6" s="85" t="n"/>
      <c r="O6" s="85" t="n"/>
      <c r="P6" s="65">
        <f>IF(C6="Aktie",'Parameter &amp; Regeln'!$B$4*'Parameter &amp; Regeln'!$B$6*Q6/SUMIFS($Q$5:$Q$24,$C$5:$C$24,"Aktie"),IFERROR(VLOOKUP(B6,'Parameter &amp; Regeln'!$A$56:$B$62,2,FALSE),0))</f>
        <v/>
      </c>
      <c r="Q6" s="58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/>
      </c>
      <c r="R6" s="90">
        <f>IF(AND(C6="Aktie",OR(LEFT(O6,1)="🔴",LEFT(N6,8)="DEFCON 1")),IF(J6&gt;'Parameter &amp; Regeln'!$B$65,"🚩 FLAG (gesperrt)",""),IF(J6&gt;'Parameter &amp; Regeln'!$B$65,"🛒 Nachkaufen",IF(J6&lt;-'Parameter &amp; Regeln'!$B$65,"⏸️ Über Ziel","")))</f>
        <v/>
      </c>
    </row>
    <row r="7" ht="16.5" customHeight="1" s="96">
      <c r="A7" s="7" t="inlineStr">
        <is>
          <t>iShares Core MSCI EM IMI</t>
        </is>
      </c>
      <c r="B7" s="8" t="inlineStr">
        <is>
          <t>EIMI</t>
        </is>
      </c>
      <c r="C7" s="8" t="inlineStr">
        <is>
          <t>ETF</t>
        </is>
      </c>
      <c r="D7" s="8" t="inlineStr">
        <is>
          <t>ING</t>
        </is>
      </c>
      <c r="E7" s="9" t="n">
        <v>0</v>
      </c>
      <c r="F7" s="10" t="n">
        <v>1349.52</v>
      </c>
      <c r="G7" s="11">
        <f>IF(F$29=0,0,F7/F$29)</f>
        <v/>
      </c>
      <c r="H7" s="6">
        <f>VLOOKUP($B7,'Parameter &amp; Regeln'!$A$56:$B$62,2,FALSE)/'Parameter &amp; Regeln'!$B$4</f>
        <v/>
      </c>
      <c r="I7" s="10">
        <f>H7*F$29</f>
        <v/>
      </c>
      <c r="J7" s="10">
        <f>I7-F7</f>
        <v/>
      </c>
      <c r="K7" s="11">
        <f>G7-H7</f>
        <v/>
      </c>
      <c r="L7" s="8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2">
        <f>IF(C7="Aktie",IF(G7&gt;'Parameter &amp; Regeln'!B$10,"🚨 ÜBER CAP","✅ OK"),"")</f>
        <v/>
      </c>
      <c r="N7" s="85" t="n"/>
      <c r="O7" s="85" t="n"/>
      <c r="P7" s="65">
        <f>IF(C7="Aktie",'Parameter &amp; Regeln'!$B$4*'Parameter &amp; Regeln'!$B$6*Q7/SUMIFS($Q$5:$Q$24,$C$5:$C$24,"Aktie"),IFERROR(VLOOKUP(B7,'Parameter &amp; Regeln'!$A$56:$B$62,2,FALSE),0))</f>
        <v/>
      </c>
      <c r="Q7" s="58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/>
      </c>
      <c r="R7" s="90">
        <f>IF(AND(C7="Aktie",OR(LEFT(O7,1)="🔴",LEFT(N7,8)="DEFCON 1")),IF(J7&gt;'Parameter &amp; Regeln'!$B$65,"🚩 FLAG (gesperrt)",""),IF(J7&gt;'Parameter &amp; Regeln'!$B$65,"🛒 Nachkaufen",IF(J7&lt;-'Parameter &amp; Regeln'!$B$65,"⏸️ Über Ziel","")))</f>
        <v/>
      </c>
    </row>
    <row r="8" ht="16.5" customHeight="1" s="96">
      <c r="A8" s="7" t="inlineStr">
        <is>
          <t>Xtrackers MSCI World ex USA</t>
        </is>
      </c>
      <c r="B8" s="8" t="inlineStr">
        <is>
          <t>EXUS</t>
        </is>
      </c>
      <c r="C8" s="8" t="inlineStr">
        <is>
          <t>ETF</t>
        </is>
      </c>
      <c r="D8" s="8" t="inlineStr">
        <is>
          <t>ING</t>
        </is>
      </c>
      <c r="E8" s="9" t="n">
        <v>0</v>
      </c>
      <c r="F8" s="10" t="n">
        <v>1978.17</v>
      </c>
      <c r="G8" s="11">
        <f>IF(F$29=0,0,F8/F$29)</f>
        <v/>
      </c>
      <c r="H8" s="6">
        <f>VLOOKUP($B8,'Parameter &amp; Regeln'!$A$56:$B$62,2,FALSE)/'Parameter &amp; Regeln'!$B$4</f>
        <v/>
      </c>
      <c r="I8" s="10">
        <f>H8*F$29</f>
        <v/>
      </c>
      <c r="J8" s="10">
        <f>I8-F8</f>
        <v/>
      </c>
      <c r="K8" s="11">
        <f>G8-H8</f>
        <v/>
      </c>
      <c r="L8" s="8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2">
        <f>IF(C8="Aktie",IF(G8&gt;'Parameter &amp; Regeln'!B$10,"🚨 ÜBER CAP","✅ OK"),"")</f>
        <v/>
      </c>
      <c r="N8" s="85" t="n"/>
      <c r="O8" s="85" t="n"/>
      <c r="P8" s="65">
        <f>IF(C8="Aktie",'Parameter &amp; Regeln'!$B$4*'Parameter &amp; Regeln'!$B$6*Q8/SUMIFS($Q$5:$Q$24,$C$5:$C$24,"Aktie"),IFERROR(VLOOKUP(B8,'Parameter &amp; Regeln'!$A$56:$B$62,2,FALSE),0))</f>
        <v/>
      </c>
      <c r="Q8" s="58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/>
      </c>
      <c r="R8" s="90">
        <f>IF(AND(C8="Aktie",OR(LEFT(O8,1)="🔴",LEFT(N8,8)="DEFCON 1")),IF(J8&gt;'Parameter &amp; Regeln'!$B$65,"🚩 FLAG (gesperrt)",""),IF(J8&gt;'Parameter &amp; Regeln'!$B$65,"🛒 Nachkaufen",IF(J8&lt;-'Parameter &amp; Regeln'!$B$65,"⏸️ Über Ziel","")))</f>
        <v/>
      </c>
    </row>
    <row r="9" ht="16.5" customHeight="1" s="96">
      <c r="A9" s="7" t="inlineStr">
        <is>
          <t>Avantis Global Small Cap Value</t>
        </is>
      </c>
      <c r="B9" s="8" t="inlineStr">
        <is>
          <t>AVGC</t>
        </is>
      </c>
      <c r="C9" s="8" t="inlineStr">
        <is>
          <t>ETF</t>
        </is>
      </c>
      <c r="D9" s="8" t="inlineStr">
        <is>
          <t>Scalable</t>
        </is>
      </c>
      <c r="E9" s="9" t="n">
        <v>0.67</v>
      </c>
      <c r="F9" s="10" t="n">
        <v>1366</v>
      </c>
      <c r="G9" s="11">
        <f>IF(F$29=0,0,F9/F$29)</f>
        <v/>
      </c>
      <c r="H9" s="6">
        <f>VLOOKUP($B9,'Parameter &amp; Regeln'!$A$56:$B$62,2,FALSE)/'Parameter &amp; Regeln'!$B$4</f>
        <v/>
      </c>
      <c r="I9" s="10">
        <f>H9*F$29</f>
        <v/>
      </c>
      <c r="J9" s="10">
        <f>I9-F9</f>
        <v/>
      </c>
      <c r="K9" s="11">
        <f>G9-H9</f>
        <v/>
      </c>
      <c r="L9" s="8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2">
        <f>IF(C9="Aktie",IF(G9&gt;'Parameter &amp; Regeln'!B$10,"🚨 ÜBER CAP","✅ OK"),"")</f>
        <v/>
      </c>
      <c r="N9" s="85" t="n"/>
      <c r="O9" s="85" t="n"/>
      <c r="P9" s="65">
        <f>IF(C9="Aktie",'Parameter &amp; Regeln'!$B$4*'Parameter &amp; Regeln'!$B$6*Q9/SUMIFS($Q$5:$Q$24,$C$5:$C$24,"Aktie"),IFERROR(VLOOKUP(B9,'Parameter &amp; Regeln'!$A$56:$B$62,2,FALSE),0))</f>
        <v/>
      </c>
      <c r="Q9" s="58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/>
      </c>
      <c r="R9" s="90">
        <f>IF(AND(C9="Aktie",OR(LEFT(O9,1)="🔴",LEFT(N9,8)="DEFCON 1")),IF(J9&gt;'Parameter &amp; Regeln'!$B$65,"🚩 FLAG (gesperrt)",""),IF(J9&gt;'Parameter &amp; Regeln'!$B$65,"🛒 Nachkaufen",IF(J9&lt;-'Parameter &amp; Regeln'!$B$65,"⏸️ Über Ziel","")))</f>
        <v/>
      </c>
    </row>
    <row r="10" ht="16.5" customHeight="1" s="96">
      <c r="A10" s="7" t="inlineStr">
        <is>
          <t>VanEck Space Innovators</t>
        </is>
      </c>
      <c r="B10" s="8" t="inlineStr">
        <is>
          <t>JEDI</t>
        </is>
      </c>
      <c r="C10" s="8" t="inlineStr">
        <is>
          <t>ETF</t>
        </is>
      </c>
      <c r="D10" s="8" t="inlineStr">
        <is>
          <t>Scalable</t>
        </is>
      </c>
      <c r="E10" s="9" t="n">
        <v>0.62</v>
      </c>
      <c r="F10" s="10" t="n">
        <v>0</v>
      </c>
      <c r="G10" s="11">
        <f>IF(F$29=0,0,F10/F$29)</f>
        <v/>
      </c>
      <c r="H10" s="6">
        <f>VLOOKUP($B10,'Parameter &amp; Regeln'!$A$56:$B$62,2,FALSE)/'Parameter &amp; Regeln'!$B$4</f>
        <v/>
      </c>
      <c r="I10" s="10">
        <f>H10*F$29</f>
        <v/>
      </c>
      <c r="J10" s="10">
        <f>I10-F10</f>
        <v/>
      </c>
      <c r="K10" s="11">
        <f>G10-H10</f>
        <v/>
      </c>
      <c r="L10" s="8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2">
        <f>IF(C10="Aktie",IF(G10&gt;'Parameter &amp; Regeln'!B$10,"🚨 ÜBER CAP","✅ OK"),"")</f>
        <v/>
      </c>
      <c r="N10" s="85" t="n"/>
      <c r="O10" s="85" t="n"/>
      <c r="P10" s="65">
        <f>IF(C10="Aktie",'Parameter &amp; Regeln'!$B$4*'Parameter &amp; Regeln'!$B$6*Q10/SUMIFS($Q$5:$Q$24,$C$5:$C$24,"Aktie"),IFERROR(VLOOKUP(B10,'Parameter &amp; Regeln'!$A$56:$B$62,2,FALSE),0))</f>
        <v/>
      </c>
      <c r="Q10" s="58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/>
      </c>
      <c r="R10" s="90">
        <f>IF(AND(C10="Aktie",OR(LEFT(O10,1)="🔴",LEFT(N10,8)="DEFCON 1")),IF(J10&gt;'Parameter &amp; Regeln'!$B$65,"🚩 FLAG (gesperrt)",""),IF(J10&gt;'Parameter &amp; Regeln'!$B$65,"🛒 Nachkaufen",IF(J10&lt;-'Parameter &amp; Regeln'!$B$65,"⏸️ Über Ziel","")))</f>
        <v/>
      </c>
    </row>
    <row r="11" ht="16.5" customHeight="1" s="96">
      <c r="A11" s="7" t="inlineStr">
        <is>
          <t>WisdomTree Quantum Computing</t>
        </is>
      </c>
      <c r="B11" s="8" t="inlineStr">
        <is>
          <t>WQTM</t>
        </is>
      </c>
      <c r="C11" s="8" t="inlineStr">
        <is>
          <t>ETF</t>
        </is>
      </c>
      <c r="D11" s="8" t="inlineStr">
        <is>
          <t>Scalable</t>
        </is>
      </c>
      <c r="E11" s="9" t="n">
        <v>0.68</v>
      </c>
      <c r="F11" s="10" t="n">
        <v>193</v>
      </c>
      <c r="G11" s="11">
        <f>IF(F$29=0,0,F11/F$29)</f>
        <v/>
      </c>
      <c r="H11" s="6">
        <f>VLOOKUP($B11,'Parameter &amp; Regeln'!$A$56:$B$62,2,FALSE)/'Parameter &amp; Regeln'!$B$4</f>
        <v/>
      </c>
      <c r="I11" s="10">
        <f>H11*F$29</f>
        <v/>
      </c>
      <c r="J11" s="10">
        <f>I11-F11</f>
        <v/>
      </c>
      <c r="K11" s="11">
        <f>G11-H11</f>
        <v/>
      </c>
      <c r="L11" s="13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93">
        <f>IF(C11="Aktie",IF(G11&gt;'Parameter &amp; Regeln'!B$10,"🚨 ÜBER CAP","✅ OK"),"")</f>
        <v/>
      </c>
      <c r="N11" s="85" t="n"/>
      <c r="O11" s="85" t="n"/>
      <c r="P11" s="65">
        <f>IF(C11="Aktie",'Parameter &amp; Regeln'!$B$4*'Parameter &amp; Regeln'!$B$6*Q11/SUMIFS($Q$5:$Q$24,$C$5:$C$24,"Aktie"),IFERROR(VLOOKUP(B11,'Parameter &amp; Regeln'!$A$56:$B$62,2,FALSE),0))</f>
        <v/>
      </c>
      <c r="Q11" s="58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/>
      </c>
      <c r="R11" s="90">
        <f>IF(AND(C11="Aktie",OR(LEFT(O11,1)="🔴",LEFT(N11,8)="DEFCON 1")),IF(J11&gt;'Parameter &amp; Regeln'!$B$65,"🚩 FLAG (gesperrt)",""),IF(J11&gt;'Parameter &amp; Regeln'!$B$65,"🛒 Nachkaufen",IF(J11&lt;-'Parameter &amp; Regeln'!$B$65,"⏸️ Über Ziel","")))</f>
        <v/>
      </c>
    </row>
    <row r="12" ht="16.5" customHeight="1" s="96">
      <c r="A12" s="59" t="inlineStr">
        <is>
          <t>Amazon.com</t>
        </is>
      </c>
      <c r="B12" s="60" t="inlineStr">
        <is>
          <t>AMZN</t>
        </is>
      </c>
      <c r="C12" s="60" t="inlineStr">
        <is>
          <t>Aktie</t>
        </is>
      </c>
      <c r="D12" s="60" t="inlineStr">
        <is>
          <t>Scalable</t>
        </is>
      </c>
      <c r="E12" s="61" t="n">
        <v>1</v>
      </c>
      <c r="F12" s="62" t="n">
        <v>367</v>
      </c>
      <c r="G12" s="63">
        <f>IF(F$29=0,0,F12/F$29)</f>
        <v/>
      </c>
      <c r="H12" s="63">
        <f>'Parameter &amp; Regeln'!$B$35/'Parameter &amp; Regeln'!$B$4</f>
        <v/>
      </c>
      <c r="I12" s="62">
        <f>H12*F$29</f>
        <v/>
      </c>
      <c r="J12" s="62">
        <f>I12-F12</f>
        <v/>
      </c>
      <c r="K12" s="63">
        <f>G12-H12</f>
        <v/>
      </c>
      <c r="L12" s="60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74">
        <f>IF(C12="Aktie",IF(G12&gt;'Parameter &amp; Regeln'!B$10,"🚨 ÜBER CAP","✅ OK"),"")</f>
        <v/>
      </c>
      <c r="N12" s="80" t="inlineStr">
        <is>
          <t>DEFCON 1 (42)</t>
        </is>
      </c>
      <c r="O12" s="80" t="inlineStr">
        <is>
          <t>🔴 FLAG: CapEx/OCF TTM 99,2% (15.05.)</t>
        </is>
      </c>
      <c r="P12" s="65">
        <f>IF(C12="Aktie",'Parameter &amp; Regeln'!$B$4*'Parameter &amp; Regeln'!$B$6*Q12/SUMIFS($Q$5:$Q$24,$C$5:$C$24,"Aktie"),IFERROR(VLOOKUP(B12,'Parameter &amp; Regeln'!$A$56:$B$62,2,FALSE),0))</f>
        <v/>
      </c>
      <c r="Q12" s="58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/>
      </c>
      <c r="R12" s="91">
        <f>IF(AND(C12="Aktie",OR(LEFT(O12,1)="🔴",LEFT(N12,8)="DEFCON 1")),IF(J12&gt;'Parameter &amp; Regeln'!$B$65,"🚩 FLAG (gesperrt)",""),IF(J12&gt;'Parameter &amp; Regeln'!$B$65,"🛒 Nachkaufen",IF(J12&lt;-'Parameter &amp; Regeln'!$B$65,"⏸️ Über Ziel","")))</f>
        <v/>
      </c>
    </row>
    <row r="13" ht="16.5" customHeight="1" s="96">
      <c r="A13" s="75" t="inlineStr">
        <is>
          <t>Amphenol</t>
        </is>
      </c>
      <c r="B13" s="76" t="inlineStr">
        <is>
          <t>APH</t>
        </is>
      </c>
      <c r="C13" s="76" t="inlineStr">
        <is>
          <t>Aktie</t>
        </is>
      </c>
      <c r="D13" s="76" t="inlineStr">
        <is>
          <t>Scalable</t>
        </is>
      </c>
      <c r="E13" s="77" t="n">
        <v>1</v>
      </c>
      <c r="F13" s="64" t="n">
        <v>369</v>
      </c>
      <c r="G13" s="78">
        <f>IF(F$29=0,0,F13/F$29)</f>
        <v/>
      </c>
      <c r="H13" s="78">
        <f>'Parameter &amp; Regeln'!$B$37/'Parameter &amp; Regeln'!$B$4</f>
        <v/>
      </c>
      <c r="I13" s="64">
        <f>H13*F$29</f>
        <v/>
      </c>
      <c r="J13" s="64">
        <f>I13-F13</f>
        <v/>
      </c>
      <c r="K13" s="78">
        <f>G13-H13</f>
        <v/>
      </c>
      <c r="L13" s="76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79">
        <f>IF(C13="Aktie",IF(G13&gt;'Parameter &amp; Regeln'!B$10,"🚨 ÜBER CAP","✅ OK"),"")</f>
        <v/>
      </c>
      <c r="N13" s="81" t="inlineStr">
        <is>
          <t>DEFCON 2 (61)</t>
        </is>
      </c>
      <c r="O13" s="80" t="inlineStr">
        <is>
          <t>🔴 FLAG: Score 61 (DEFCON 2, Q1 FY26 Tag-+1 Vollanalyse 30.04.) | CommScope-NL 1,6x | China-Tax-ETR 27% strukturell</t>
        </is>
      </c>
      <c r="P13" s="65">
        <f>IF(C13="Aktie",'Parameter &amp; Regeln'!$B$4*'Parameter &amp; Regeln'!$B$6*Q13/SUMIFS($Q$5:$Q$24,$C$5:$C$24,"Aktie"),IFERROR(VLOOKUP(B13,'Parameter &amp; Regeln'!$A$56:$B$62,2,FALSE),0))</f>
        <v/>
      </c>
      <c r="Q13" s="58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/>
      </c>
      <c r="R13" s="92">
        <f>IF(AND(C13="Aktie",OR(LEFT(O13,1)="🔴",LEFT(N13,8)="DEFCON 1")),IF(J13&gt;'Parameter &amp; Regeln'!$B$65,"🚩 FLAG (gesperrt)",""),IF(J13&gt;'Parameter &amp; Regeln'!$B$65,"🛒 Nachkaufen",IF(J13&lt;-'Parameter &amp; Regeln'!$B$65,"⏸️ Über Ziel","")))</f>
        <v/>
      </c>
    </row>
    <row r="14" ht="16.5" customHeight="1" s="96">
      <c r="A14" s="59" t="inlineStr">
        <is>
          <t>ASML Holding</t>
        </is>
      </c>
      <c r="B14" s="60" t="inlineStr">
        <is>
          <t>ASML</t>
        </is>
      </c>
      <c r="C14" s="60" t="inlineStr">
        <is>
          <t>Aktie</t>
        </is>
      </c>
      <c r="D14" s="60" t="inlineStr">
        <is>
          <t>Scalable</t>
        </is>
      </c>
      <c r="E14" s="61" t="n">
        <v>0</v>
      </c>
      <c r="F14" s="62" t="n">
        <v>557</v>
      </c>
      <c r="G14" s="63">
        <f>IF(F$29=0,0,F14/F$29)</f>
        <v/>
      </c>
      <c r="H14" s="63">
        <f>'Parameter &amp; Regeln'!$B$36/'Parameter &amp; Regeln'!$B$4</f>
        <v/>
      </c>
      <c r="I14" s="62">
        <f>H14*F$29</f>
        <v/>
      </c>
      <c r="J14" s="62">
        <f>I14-F14</f>
        <v/>
      </c>
      <c r="K14" s="63">
        <f>G14-H14</f>
        <v/>
      </c>
      <c r="L14" s="60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74">
        <f>IF(C14="Aktie",IF(G14&gt;'Parameter &amp; Regeln'!B$10,"🚨 ÜBER CAP","✅ OK"),"")</f>
        <v/>
      </c>
      <c r="N14" s="82" t="inlineStr">
        <is>
          <t>DEFCON 3 (68)</t>
        </is>
      </c>
      <c r="O14" s="83" t="inlineStr">
        <is>
          <t>🟡 DEFCON 3 (68) | China Rev 14.7% Risk-Map</t>
        </is>
      </c>
      <c r="P14" s="65">
        <f>IF(C14="Aktie",'Parameter &amp; Regeln'!$B$4*'Parameter &amp; Regeln'!$B$6*Q14/SUMIFS($Q$5:$Q$24,$C$5:$C$24,"Aktie"),IFERROR(VLOOKUP(B14,'Parameter &amp; Regeln'!$A$56:$B$62,2,FALSE),0))</f>
        <v/>
      </c>
      <c r="Q14" s="58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/>
      </c>
      <c r="R14" s="91">
        <f>IF(AND(C14="Aktie",OR(LEFT(O14,1)="🔴",LEFT(N14,8)="DEFCON 1")),IF(J14&gt;'Parameter &amp; Regeln'!$B$65,"🚩 FLAG (gesperrt)",""),IF(J14&gt;'Parameter &amp; Regeln'!$B$65,"🛒 Nachkaufen",IF(J14&lt;-'Parameter &amp; Regeln'!$B$65,"⏸️ Über Ziel","")))</f>
        <v/>
      </c>
    </row>
    <row r="15" ht="16.5" customHeight="1" s="96">
      <c r="A15" s="75" t="inlineStr">
        <is>
          <t>Berkshire Hathaway</t>
        </is>
      </c>
      <c r="B15" s="76" t="inlineStr">
        <is>
          <t>BRK.B</t>
        </is>
      </c>
      <c r="C15" s="76" t="inlineStr">
        <is>
          <t>Aktie</t>
        </is>
      </c>
      <c r="D15" s="76" t="inlineStr">
        <is>
          <t>Scalable</t>
        </is>
      </c>
      <c r="E15" s="77" t="n">
        <v>1</v>
      </c>
      <c r="F15" s="64" t="n">
        <v>446</v>
      </c>
      <c r="G15" s="78">
        <f>IF(F$29=0,0,F15/F$29)</f>
        <v/>
      </c>
      <c r="H15" s="78">
        <f>'Parameter &amp; Regeln'!$B$37/'Parameter &amp; Regeln'!$B$4</f>
        <v/>
      </c>
      <c r="I15" s="64">
        <f>H15*F$29</f>
        <v/>
      </c>
      <c r="J15" s="64">
        <f>I15-F15</f>
        <v/>
      </c>
      <c r="K15" s="78">
        <f>G15-H15</f>
        <v/>
      </c>
      <c r="L15" s="76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79">
        <f>IF(C15="Aktie",IF(G15&gt;'Parameter &amp; Regeln'!B$10,"🚨 ÜBER CAP","✅ OK"),"")</f>
        <v/>
      </c>
      <c r="N15" s="82" t="inlineStr">
        <is>
          <t>DEFCON 3 (71) | Abel Käufe $15.3M</t>
        </is>
      </c>
      <c r="O15" s="82" t="inlineStr">
        <is>
          <t>✅ Clean</t>
        </is>
      </c>
      <c r="P15" s="65">
        <f>IF(C15="Aktie",'Parameter &amp; Regeln'!$B$4*'Parameter &amp; Regeln'!$B$6*Q15/SUMIFS($Q$5:$Q$24,$C$5:$C$24,"Aktie"),IFERROR(VLOOKUP(B15,'Parameter &amp; Regeln'!$A$56:$B$62,2,FALSE),0))</f>
        <v/>
      </c>
      <c r="Q15" s="58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/>
      </c>
      <c r="R15" s="92">
        <f>IF(AND(C15="Aktie",OR(LEFT(O15,1)="🔴",LEFT(N15,8)="DEFCON 1")),IF(J15&gt;'Parameter &amp; Regeln'!$B$65,"🚩 FLAG (gesperrt)",""),IF(J15&gt;'Parameter &amp; Regeln'!$B$65,"🛒 Nachkaufen",IF(J15&lt;-'Parameter &amp; Regeln'!$B$65,"⏸️ Über Ziel","")))</f>
        <v/>
      </c>
    </row>
    <row r="16" ht="16.5" customHeight="1" s="96">
      <c r="A16" s="59" t="inlineStr">
        <is>
          <t>Broadcom</t>
        </is>
      </c>
      <c r="B16" s="60" t="inlineStr">
        <is>
          <t>AVGO</t>
        </is>
      </c>
      <c r="C16" s="60" t="inlineStr">
        <is>
          <t>Aktie</t>
        </is>
      </c>
      <c r="D16" s="60" t="inlineStr">
        <is>
          <t>Scalable</t>
        </is>
      </c>
      <c r="E16" s="61" t="n">
        <v>1</v>
      </c>
      <c r="F16" s="62" t="n">
        <v>464</v>
      </c>
      <c r="G16" s="63">
        <f>IF(F$29=0,0,F16/F$29)</f>
        <v/>
      </c>
      <c r="H16" s="63">
        <f>'Parameter &amp; Regeln'!$B$35/'Parameter &amp; Regeln'!$B$4</f>
        <v/>
      </c>
      <c r="I16" s="62">
        <f>H16*F$29</f>
        <v/>
      </c>
      <c r="J16" s="62">
        <f>I16-F16</f>
        <v/>
      </c>
      <c r="K16" s="63">
        <f>G16-H16</f>
        <v/>
      </c>
      <c r="L16" s="60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74">
        <f>IF(C16="Aktie",IF(G16&gt;'Parameter &amp; Regeln'!B$10,"🚨 ÜBER CAP","✅ OK"),"")</f>
        <v/>
      </c>
      <c r="N16" s="81" t="inlineStr">
        <is>
          <t>DEFCON 2 (56) | Q2 04.06.</t>
        </is>
      </c>
      <c r="O16" s="80" t="inlineStr">
        <is>
          <t>🔴 FLAG: Insider-Selling 90d $106M+ | Aktiviert 27.04.2026 | Q2 FY26 Vollanalyse 04.06. Score 53→56 (D2, FLAG bleibt) | Re-Eval Q3 FY26 ~02.09.</t>
        </is>
      </c>
      <c r="P16" s="65">
        <f>IF(C16="Aktie",'Parameter &amp; Regeln'!$B$4*'Parameter &amp; Regeln'!$B$6*Q16/SUMIFS($Q$5:$Q$24,$C$5:$C$24,"Aktie"),IFERROR(VLOOKUP(B16,'Parameter &amp; Regeln'!$A$56:$B$62,2,FALSE),0))</f>
        <v/>
      </c>
      <c r="Q16" s="58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/>
      </c>
      <c r="R16" s="91">
        <f>IF(AND(C16="Aktie",OR(LEFT(O16,1)="🔴",LEFT(N16,8)="DEFCON 1")),IF(J16&gt;'Parameter &amp; Regeln'!$B$65,"🚩 FLAG (gesperrt)",""),IF(J16&gt;'Parameter &amp; Regeln'!$B$65,"🛒 Nachkaufen",IF(J16&lt;-'Parameter &amp; Regeln'!$B$65,"⏸️ Über Ziel","")))</f>
        <v/>
      </c>
    </row>
    <row r="17" ht="16.5" customHeight="1" s="96">
      <c r="A17" s="75" t="inlineStr">
        <is>
          <t>Hermès</t>
        </is>
      </c>
      <c r="B17" s="76" t="inlineStr">
        <is>
          <t>RMS</t>
        </is>
      </c>
      <c r="C17" s="76" t="inlineStr">
        <is>
          <t>Aktie</t>
        </is>
      </c>
      <c r="D17" s="76" t="inlineStr">
        <is>
          <t>Scalable</t>
        </is>
      </c>
      <c r="E17" s="77" t="n">
        <v>0</v>
      </c>
      <c r="F17" s="64" t="n">
        <v>425</v>
      </c>
      <c r="G17" s="78">
        <f>IF(F$29=0,0,F17/F$29)</f>
        <v/>
      </c>
      <c r="H17" s="78">
        <f>'Parameter &amp; Regeln'!$B$37/'Parameter &amp; Regeln'!$B$4</f>
        <v/>
      </c>
      <c r="I17" s="64">
        <f>H17*F$29</f>
        <v/>
      </c>
      <c r="J17" s="64">
        <f>I17-F17</f>
        <v/>
      </c>
      <c r="K17" s="78">
        <f>G17-H17</f>
        <v/>
      </c>
      <c r="L17" s="76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79">
        <f>IF(C17="Aktie",IF(G17&gt;'Parameter &amp; Regeln'!B$10,"🚨 ÜBER CAP","✅ OK"),"")</f>
        <v/>
      </c>
      <c r="N17" s="82" t="inlineStr">
        <is>
          <t>DEFCON 3 (68) | Q1 Miss: −8.4% | Moat intakt</t>
        </is>
      </c>
      <c r="O17" s="82" t="inlineStr">
        <is>
          <t>✅ Clean | Re-Analyse 17.04.2026 v3.7</t>
        </is>
      </c>
      <c r="P17" s="65">
        <f>IF(C17="Aktie",'Parameter &amp; Regeln'!$B$4*'Parameter &amp; Regeln'!$B$6*Q17/SUMIFS($Q$5:$Q$24,$C$5:$C$24,"Aktie"),IFERROR(VLOOKUP(B17,'Parameter &amp; Regeln'!$A$56:$B$62,2,FALSE),0))</f>
        <v/>
      </c>
      <c r="Q17" s="58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/>
      </c>
      <c r="R17" s="92">
        <f>IF(AND(C17="Aktie",OR(LEFT(O17,1)="🔴",LEFT(N17,8)="DEFCON 1")),IF(J17&gt;'Parameter &amp; Regeln'!$B$65,"🚩 FLAG (gesperrt)",""),IF(J17&gt;'Parameter &amp; Regeln'!$B$65,"🛒 Nachkaufen",IF(J17&lt;-'Parameter &amp; Regeln'!$B$65,"⏸️ Über Ziel","")))</f>
        <v/>
      </c>
    </row>
    <row r="18" ht="16.5" customHeight="1" s="96">
      <c r="A18" s="59" t="inlineStr">
        <is>
          <t>Keyence</t>
        </is>
      </c>
      <c r="B18" s="60" t="inlineStr">
        <is>
          <t>KYCCF</t>
        </is>
      </c>
      <c r="C18" s="60" t="inlineStr">
        <is>
          <t>Aktie</t>
        </is>
      </c>
      <c r="D18" s="60" t="inlineStr">
        <is>
          <t>Scalable</t>
        </is>
      </c>
      <c r="E18" s="61" t="n">
        <v>0</v>
      </c>
      <c r="F18" s="62" t="n">
        <v>0</v>
      </c>
      <c r="G18" s="63">
        <f>IF(F$29=0,0,F18/F$29)</f>
        <v/>
      </c>
      <c r="H18" s="63">
        <f>'Parameter &amp; Regeln'!$B$36/'Parameter &amp; Regeln'!$B$4</f>
        <v/>
      </c>
      <c r="I18" s="62">
        <f>H18*F$29</f>
        <v/>
      </c>
      <c r="J18" s="62">
        <f>I18-F18</f>
        <v/>
      </c>
      <c r="K18" s="63">
        <f>G18-H18</f>
        <v/>
      </c>
      <c r="L18" s="60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74">
        <f>IF(C18="Aktie",IF(G18&gt;'Parameter &amp; Regeln'!B$10,"🚨 ÜBER CAP","✅ OK"),"")</f>
        <v/>
      </c>
      <c r="N18" s="82" t="inlineStr">
        <is>
          <t>DEFCON 3 (67) | O3 13.06.</t>
        </is>
      </c>
      <c r="O18" s="82" t="inlineStr">
        <is>
          <t>✅ Clean</t>
        </is>
      </c>
      <c r="P18" s="65">
        <f>IF(C18="Aktie",'Parameter &amp; Regeln'!$B$4*'Parameter &amp; Regeln'!$B$6*Q18/SUMIFS($Q$5:$Q$24,$C$5:$C$24,"Aktie"),IFERROR(VLOOKUP(B18,'Parameter &amp; Regeln'!$A$56:$B$62,2,FALSE),0))</f>
        <v/>
      </c>
      <c r="Q18" s="58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/>
      </c>
      <c r="R18" s="91">
        <f>IF(AND(C18="Aktie",OR(LEFT(O18,1)="🔴",LEFT(N18,8)="DEFCON 1")),IF(J18&gt;'Parameter &amp; Regeln'!$B$65,"🚩 FLAG (gesperrt)",""),IF(J18&gt;'Parameter &amp; Regeln'!$B$65,"🛒 Nachkaufen",IF(J18&lt;-'Parameter &amp; Regeln'!$B$65,"⏸️ Über Ziel","")))</f>
        <v/>
      </c>
    </row>
    <row r="19" ht="16.5" customHeight="1" s="96">
      <c r="A19" s="75" t="inlineStr">
        <is>
          <t>Microsoft</t>
        </is>
      </c>
      <c r="B19" s="76" t="inlineStr">
        <is>
          <t>MSFT</t>
        </is>
      </c>
      <c r="C19" s="76" t="inlineStr">
        <is>
          <t>Aktie</t>
        </is>
      </c>
      <c r="D19" s="76" t="inlineStr">
        <is>
          <t>Scalable</t>
        </is>
      </c>
      <c r="E19" s="77" t="n">
        <v>1</v>
      </c>
      <c r="F19" s="64" t="n">
        <v>400</v>
      </c>
      <c r="G19" s="78">
        <f>IF(F$29=0,0,F19/F$29)</f>
        <v/>
      </c>
      <c r="H19" s="78">
        <f>'Parameter &amp; Regeln'!$B$35/'Parameter &amp; Regeln'!$B$4</f>
        <v/>
      </c>
      <c r="I19" s="64">
        <f>H19*F$29</f>
        <v/>
      </c>
      <c r="J19" s="64">
        <f>I19-F19</f>
        <v/>
      </c>
      <c r="K19" s="78">
        <f>G19-H19</f>
        <v/>
      </c>
      <c r="L19" s="76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79">
        <f>IF(C19="Aktie",IF(G19&gt;'Parameter &amp; Regeln'!B$10,"🚨 ÜBER CAP","✅ OK"),"")</f>
        <v/>
      </c>
      <c r="N19" s="81" t="inlineStr">
        <is>
          <t>DEFCON 2 (50)</t>
        </is>
      </c>
      <c r="O19" s="80" t="inlineStr">
        <is>
          <t>🔴 FLAG: CapEx/OCF aktiv | Score 50 | DEFCON 2 | Bull-Case Trigger B FAIL (CY26 $190B) | Re-Check Q4 FY26 ~Juli</t>
        </is>
      </c>
      <c r="P19" s="65">
        <f>IF(C19="Aktie",'Parameter &amp; Regeln'!$B$4*'Parameter &amp; Regeln'!$B$6*Q19/SUMIFS($Q$5:$Q$24,$C$5:$C$24,"Aktie"),IFERROR(VLOOKUP(B19,'Parameter &amp; Regeln'!$A$56:$B$62,2,FALSE),0))</f>
        <v/>
      </c>
      <c r="Q19" s="58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/>
      </c>
      <c r="R19" s="92">
        <f>IF(AND(C19="Aktie",OR(LEFT(O19,1)="🔴",LEFT(N19,8)="DEFCON 1")),IF(J19&gt;'Parameter &amp; Regeln'!$B$65,"🚩 FLAG (gesperrt)",""),IF(J19&gt;'Parameter &amp; Regeln'!$B$65,"🛒 Nachkaufen",IF(J19&lt;-'Parameter &amp; Regeln'!$B$65,"⏸️ Über Ziel","")))</f>
        <v/>
      </c>
    </row>
    <row r="20" ht="16.5" customHeight="1" s="96">
      <c r="A20" s="59" t="inlineStr">
        <is>
          <t>Schneider Electric</t>
        </is>
      </c>
      <c r="B20" s="60" t="inlineStr">
        <is>
          <t>SU</t>
        </is>
      </c>
      <c r="C20" s="60" t="inlineStr">
        <is>
          <t>Aktie</t>
        </is>
      </c>
      <c r="D20" s="60" t="inlineStr">
        <is>
          <t>Scalable</t>
        </is>
      </c>
      <c r="E20" s="61" t="n">
        <v>0</v>
      </c>
      <c r="F20" s="62" t="n">
        <v>410</v>
      </c>
      <c r="G20" s="63">
        <f>IF(F$29=0,0,F20/F$29)</f>
        <v/>
      </c>
      <c r="H20" s="63">
        <f>'Parameter &amp; Regeln'!$B$37/'Parameter &amp; Regeln'!$B$4</f>
        <v/>
      </c>
      <c r="I20" s="62">
        <f>H20*F$29</f>
        <v/>
      </c>
      <c r="J20" s="62">
        <f>I20-F20</f>
        <v/>
      </c>
      <c r="K20" s="63">
        <f>G20-H20</f>
        <v/>
      </c>
      <c r="L20" s="60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74">
        <f>IF(C20="Aktie",IF(G20&gt;'Parameter &amp; Regeln'!B$10,"🚨 ÜBER CAP","✅ OK"),"")</f>
        <v/>
      </c>
      <c r="N20" s="82" t="inlineStr">
        <is>
          <t>DEFCON 3 (69)</t>
        </is>
      </c>
      <c r="O20" s="82" t="inlineStr">
        <is>
          <t>✅ Clean</t>
        </is>
      </c>
      <c r="P20" s="65">
        <f>IF(C20="Aktie",'Parameter &amp; Regeln'!$B$4*'Parameter &amp; Regeln'!$B$6*Q20/SUMIFS($Q$5:$Q$24,$C$5:$C$24,"Aktie"),IFERROR(VLOOKUP(B20,'Parameter &amp; Regeln'!$A$56:$B$62,2,FALSE),0))</f>
        <v/>
      </c>
      <c r="Q20" s="58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/>
      </c>
      <c r="R20" s="91">
        <f>IF(AND(C20="Aktie",OR(LEFT(O20,1)="🔴",LEFT(N20,8)="DEFCON 1")),IF(J20&gt;'Parameter &amp; Regeln'!$B$65,"🚩 FLAG (gesperrt)",""),IF(J20&gt;'Parameter &amp; Regeln'!$B$65,"🛒 Nachkaufen",IF(J20&lt;-'Parameter &amp; Regeln'!$B$65,"⏸️ Über Ziel","")))</f>
        <v/>
      </c>
    </row>
    <row r="21" ht="16.5" customHeight="1" s="96">
      <c r="A21" s="75" t="inlineStr">
        <is>
          <t>ServiceNow</t>
        </is>
      </c>
      <c r="B21" s="76" t="inlineStr">
        <is>
          <t>NOW</t>
        </is>
      </c>
      <c r="C21" s="76" t="inlineStr">
        <is>
          <t>Aktie</t>
        </is>
      </c>
      <c r="D21" s="76" t="inlineStr">
        <is>
          <t>Scalable</t>
        </is>
      </c>
      <c r="E21" s="77" t="n">
        <v>1</v>
      </c>
      <c r="F21" s="64" t="n">
        <v>924</v>
      </c>
      <c r="G21" s="78">
        <f>IF(F$29=0,0,F21/F$29)</f>
        <v/>
      </c>
      <c r="H21" s="78">
        <f>'Parameter &amp; Regeln'!$B$35/'Parameter &amp; Regeln'!$B$4</f>
        <v/>
      </c>
      <c r="I21" s="64">
        <f>H21*F$29</f>
        <v/>
      </c>
      <c r="J21" s="64">
        <f>I21-F21</f>
        <v/>
      </c>
      <c r="K21" s="78">
        <f>G21-H21</f>
        <v/>
      </c>
      <c r="L21" s="76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/>
      </c>
      <c r="M21" s="79">
        <f>IF(C21="Aktie",IF(G21&gt;'Parameter &amp; Regeln'!B$10,"🚨 ÜBER CAP","✅ OK"),"")</f>
        <v/>
      </c>
      <c r="N21" s="82" t="inlineStr">
        <is>
          <t>DEFCON 3 (–) | Neu 04.06.</t>
        </is>
      </c>
      <c r="O21" s="82" t="inlineStr">
        <is>
          <t>✅ Clean</t>
        </is>
      </c>
      <c r="P21" s="65">
        <f>IF(C21="Aktie",'Parameter &amp; Regeln'!$B$4*'Parameter &amp; Regeln'!$B$6*Q21/SUMIFS($Q$5:$Q$24,$C$5:$C$24,"Aktie"),IFERROR(VLOOKUP(B21,'Parameter &amp; Regeln'!$A$56:$B$62,2,FALSE),0))</f>
        <v/>
      </c>
      <c r="Q21" s="58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/>
      </c>
      <c r="R21" s="92">
        <f>IF(AND(C21="Aktie",OR(LEFT(O21,1)="🔴",LEFT(N21,8)="DEFCON 1")),IF(J21&gt;'Parameter &amp; Regeln'!$B$65,"🚩 FLAG (gesperrt)",""),IF(J21&gt;'Parameter &amp; Regeln'!$B$65,"🛒 Nachkaufen",IF(J21&lt;-'Parameter &amp; Regeln'!$B$65,"⏸️ Über Ziel","")))</f>
        <v/>
      </c>
    </row>
    <row r="22" ht="18.75" customHeight="1" s="96">
      <c r="A22" s="59" t="inlineStr">
        <is>
          <t>Thermo Fisher</t>
        </is>
      </c>
      <c r="B22" s="60" t="inlineStr">
        <is>
          <t>TMO</t>
        </is>
      </c>
      <c r="C22" s="60" t="inlineStr">
        <is>
          <t>Aktie</t>
        </is>
      </c>
      <c r="D22" s="60" t="inlineStr">
        <is>
          <t>Scalable</t>
        </is>
      </c>
      <c r="E22" s="61" t="n">
        <v>1</v>
      </c>
      <c r="F22" s="62" t="n">
        <v>396</v>
      </c>
      <c r="G22" s="63">
        <f>IF(F$29=0,0,F22/F$29)</f>
        <v/>
      </c>
      <c r="H22" s="63">
        <f>'Parameter &amp; Regeln'!$B$37/'Parameter &amp; Regeln'!$B$4</f>
        <v/>
      </c>
      <c r="I22" s="62">
        <f>H22*F$29</f>
        <v/>
      </c>
      <c r="J22" s="62">
        <f>I22-F22</f>
        <v/>
      </c>
      <c r="K22" s="63">
        <f>G22-H22</f>
        <v/>
      </c>
      <c r="L22" s="60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/>
      </c>
      <c r="M22" s="74">
        <f>IF(C22="Aktie",IF(G22&gt;'Parameter &amp; Regeln'!B$10,"🚨 ÜBER CAP","✅ OK"),"")</f>
        <v/>
      </c>
      <c r="N22" s="82" t="inlineStr">
        <is>
          <t>DEFCON 3 (67)</t>
        </is>
      </c>
      <c r="O22" s="83" t="inlineStr">
        <is>
          <t>🟡 DEFCON 3 (67) | fcf_trend_neg Resolve (Q1 WC-Unwind bestätigt) | Q2 ~Ende Juli</t>
        </is>
      </c>
      <c r="P22" s="65">
        <f>IF(C22="Aktie",'Parameter &amp; Regeln'!$B$4*'Parameter &amp; Regeln'!$B$6*Q22/SUMIFS($Q$5:$Q$24,$C$5:$C$24,"Aktie"),IFERROR(VLOOKUP(B22,'Parameter &amp; Regeln'!$A$56:$B$62,2,FALSE),0))</f>
        <v/>
      </c>
      <c r="Q22" s="58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/>
      </c>
      <c r="R22" s="91">
        <f>IF(AND(C22="Aktie",OR(LEFT(O22,1)="🔴",LEFT(N22,8)="DEFCON 1")),IF(J22&gt;'Parameter &amp; Regeln'!$B$65,"🚩 FLAG (gesperrt)",""),IF(J22&gt;'Parameter &amp; Regeln'!$B$65,"🛒 Nachkaufen",IF(J22&lt;-'Parameter &amp; Regeln'!$B$65,"⏸️ Über Ziel","")))</f>
        <v/>
      </c>
    </row>
    <row r="23" ht="18.75" customHeight="1" s="96">
      <c r="A23" s="75" t="inlineStr">
        <is>
          <t>Visa</t>
        </is>
      </c>
      <c r="B23" s="76" t="inlineStr">
        <is>
          <t>V</t>
        </is>
      </c>
      <c r="C23" s="76" t="inlineStr">
        <is>
          <t>Aktie</t>
        </is>
      </c>
      <c r="D23" s="76" t="inlineStr">
        <is>
          <t>Scalable</t>
        </is>
      </c>
      <c r="E23" s="77" t="n">
        <v>1</v>
      </c>
      <c r="F23" s="64" t="n">
        <v>481</v>
      </c>
      <c r="G23" s="78">
        <f>IF(F$29=0,0,F23/F$29)</f>
        <v/>
      </c>
      <c r="H23" s="78">
        <f>'Parameter &amp; Regeln'!$B$36/'Parameter &amp; Regeln'!$B$4</f>
        <v/>
      </c>
      <c r="I23" s="64">
        <f>H23*F$29</f>
        <v/>
      </c>
      <c r="J23" s="64">
        <f>I23-F23</f>
        <v/>
      </c>
      <c r="K23" s="78">
        <f>G23-H23</f>
        <v/>
      </c>
      <c r="L23" s="76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/>
      </c>
      <c r="M23" s="79">
        <f>IF(C23="Aktie",IF(G23&gt;'Parameter &amp; Regeln'!B$10,"🚨 ÜBER CAP","✅ OK"),"")</f>
        <v/>
      </c>
      <c r="N23" s="81" t="inlineStr">
        <is>
          <t>DEFCON 2 (64)</t>
        </is>
      </c>
      <c r="O23" s="81" t="inlineStr">
        <is>
          <t>🟠 DEFCON 2 (64) | Q2 Beat-Cascade D3 (mittags) → Codex-Review-Revert D2 (spätabends, HIGH-1+2 28.04.) | Q3 ~Ende Juli ROIC-Verify</t>
        </is>
      </c>
      <c r="P23" s="65">
        <f>IF(C23="Aktie",'Parameter &amp; Regeln'!$B$4*'Parameter &amp; Regeln'!$B$6*Q23/SUMIFS($Q$5:$Q$24,$C$5:$C$24,"Aktie"),IFERROR(VLOOKUP(B23,'Parameter &amp; Regeln'!$A$56:$B$62,2,FALSE),0))</f>
        <v/>
      </c>
      <c r="Q23" s="58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/>
      </c>
      <c r="R23" s="92">
        <f>IF(AND(C23="Aktie",OR(LEFT(O23,1)="🔴",LEFT(N23,8)="DEFCON 1")),IF(J23&gt;'Parameter &amp; Regeln'!$B$65,"🚩 FLAG (gesperrt)",""),IF(J23&gt;'Parameter &amp; Regeln'!$B$65,"🛒 Nachkaufen",IF(J23&lt;-'Parameter &amp; Regeln'!$B$65,"⏸️ Über Ziel","")))</f>
        <v/>
      </c>
    </row>
    <row r="24" ht="18.75" customHeight="1" s="96">
      <c r="A24" s="59" t="inlineStr">
        <is>
          <t>Zeta Global</t>
        </is>
      </c>
      <c r="B24" s="60" t="inlineStr">
        <is>
          <t>ZETA</t>
        </is>
      </c>
      <c r="C24" s="60" t="inlineStr">
        <is>
          <t>Aktie</t>
        </is>
      </c>
      <c r="D24" s="60" t="inlineStr">
        <is>
          <t>Scalable</t>
        </is>
      </c>
      <c r="E24" s="61" t="n">
        <v>1</v>
      </c>
      <c r="F24" s="62" t="n">
        <v>434</v>
      </c>
      <c r="G24" s="63">
        <f>IF(F$29=0,0,F24/F$29)</f>
        <v/>
      </c>
      <c r="H24" s="63">
        <f>'Parameter &amp; Regeln'!$B$37/'Parameter &amp; Regeln'!$B$4</f>
        <v/>
      </c>
      <c r="I24" s="62">
        <f>H24*F$29</f>
        <v/>
      </c>
      <c r="J24" s="62">
        <f>I24-F24</f>
        <v/>
      </c>
      <c r="K24" s="63">
        <f>G24-H24</f>
        <v/>
      </c>
      <c r="L24" s="60">
        <f>IF(C24="Aktie",IF(K24&gt;'Parameter &amp; Regeln'!B$9,"📉 Reduzieren",IF(K24&lt;-'Parameter &amp; Regeln'!B$9,"📈 Aufstocken","⚖️ Halten")),IF(K24&gt;'Parameter &amp; Regeln'!B$8,"📉 Reduzieren",IF(K24&lt;-'Parameter &amp; Regeln'!B$8,"📈 Aufstocken","⚖️ Halten")))</f>
        <v/>
      </c>
      <c r="M24" s="74">
        <f>IF(C24="Aktie",IF(G24&gt;'Parameter &amp; Regeln'!B$10,"🚨 ÜBER CAP","✅ OK"),"")</f>
        <v/>
      </c>
      <c r="N24" s="82" t="inlineStr">
        <is>
          <t>DEFCON 3 (–) | Neu 04.06.</t>
        </is>
      </c>
      <c r="O24" s="82" t="inlineStr">
        <is>
          <t>✅ Clean</t>
        </is>
      </c>
      <c r="P24" s="65">
        <f>IF(C24="Aktie",'Parameter &amp; Regeln'!$B$4*'Parameter &amp; Regeln'!$B$6*Q24/SUMIFS($Q$5:$Q$24,$C$5:$C$24,"Aktie"),IFERROR(VLOOKUP(B24,'Parameter &amp; Regeln'!$A$56:$B$62,2,FALSE),0))</f>
        <v/>
      </c>
      <c r="Q24" s="58">
        <f>IF(OR(C24="ETF",C24="Gold"),H24,IF(C24&lt;&gt;"Aktie",0,IF(OR(LEFT(O24,1)="🔴",LEFT(N24,8)="DEFCON 1"),0,IF(LEFT(N24,8)="DEFCON 2",IFERROR(VLOOKUP(B24,'Parameter &amp; Regeln'!$A$41:$C$53,3,FALSE),0)*'Parameter &amp; Regeln'!$B$27,IFERROR(VLOOKUP(B24,'Parameter &amp; Regeln'!$A$41:$C$53,3,FALSE),0)))))</f>
        <v/>
      </c>
      <c r="R24" s="91">
        <f>IF(AND(C24="Aktie",OR(LEFT(O24,1)="🔴",LEFT(N24,8)="DEFCON 1")),IF(J24&gt;'Parameter &amp; Regeln'!$B$65,"🚩 FLAG (gesperrt)",""),IF(J24&gt;'Parameter &amp; Regeln'!$B$65,"🛒 Nachkaufen",IF(J24&lt;-'Parameter &amp; Regeln'!$B$65,"⏸️ Über Ziel","")))</f>
        <v/>
      </c>
    </row>
    <row r="25" ht="16.5" customHeight="1" s="96">
      <c r="A25" s="14" t="inlineStr">
        <is>
          <t>📊 GESAMT</t>
        </is>
      </c>
      <c r="B25" s="15" t="n"/>
      <c r="C25" s="15" t="n"/>
      <c r="D25" s="15" t="n"/>
      <c r="E25" s="15" t="n"/>
      <c r="F25" s="16">
        <f>SUM(F5:F24)</f>
        <v/>
      </c>
      <c r="G25" s="17">
        <f>SUM(G5:G24)</f>
        <v/>
      </c>
      <c r="H25" s="17">
        <f>SUM(H5:H24)</f>
        <v/>
      </c>
      <c r="I25" s="16">
        <f>SUM(I5:I24)</f>
        <v/>
      </c>
      <c r="J25" s="16">
        <f>ROUND(SUM(J5:J24),2)</f>
        <v/>
      </c>
      <c r="K25" s="17">
        <f t="array" ref="K25">SUMPRODUCT((C5:C24="Aktie")*ABS(K5:K24))/COUNTIF(C5:C24,"Aktie")</f>
        <v/>
      </c>
      <c r="L25" s="14" t="inlineStr">
        <is>
          <t>Ø Drift Aktien</t>
        </is>
      </c>
      <c r="M25" s="18">
        <f>COUNTIF(M5:M24,"🚨 ÜBER CAP")</f>
        <v/>
      </c>
      <c r="N25" s="19">
        <f>COUNTIF(N5:N24,"DEFCON 1*")+COUNTIF(N5:N24,"DEFCON 2*")+COUNTIF(N5:N24,"DEFCON 3*")</f>
        <v/>
      </c>
      <c r="O25" s="19">
        <f>COUNTIF(O5:O24,"🚩*")+COUNTIF(O5:O24,"🔴*")</f>
        <v/>
      </c>
      <c r="P25" s="16">
        <f>SUMIF(C5:C24,"Aktie",P5:P24)+SUMIF(C5:C24,"&lt;&gt;Aktie",P5:P24)</f>
        <v/>
      </c>
    </row>
    <row r="26" ht="16.5" customHeight="1" s="96">
      <c r="K26" s="20">
        <f t="array" ref="K26">SUMPRODUCT((C5:C24&lt;&gt;"Aktie")*ABS(K5:K24))/COUNTIF(C5:C24,"&lt;&gt;Aktie")</f>
        <v/>
      </c>
      <c r="L26" s="21" t="inlineStr">
        <is>
          <t>Ø ETF/Gold-Drift</t>
        </is>
      </c>
      <c r="M26" s="22">
        <f>COUNTIF(M5:M11,"🚨 ÜBER CAP")</f>
        <v/>
      </c>
      <c r="N26" s="23" t="inlineStr">
        <is>
          <t>⚠️ DEFCON ≤ 3</t>
        </is>
      </c>
      <c r="O26" s="23" t="inlineStr">
        <is>
          <t>🚩 Aktive FLAGs</t>
        </is>
      </c>
      <c r="P26" s="24" t="inlineStr">
        <is>
          <t>Check: Sparrate gesamt</t>
        </is>
      </c>
    </row>
    <row r="27" ht="16.5" customHeight="1" s="96">
      <c r="A27" s="25" t="inlineStr">
        <is>
          <t>Scalable Cash (verfügbar)</t>
        </is>
      </c>
      <c r="F27" s="26" t="n">
        <v>74.3</v>
      </c>
    </row>
    <row r="28" ht="16.5" customHeight="1" s="96">
      <c r="A28" s="27" t="inlineStr">
        <is>
          <t>📝 Neuinvestition (manuell eingeben)</t>
        </is>
      </c>
      <c r="F28" s="28" t="n">
        <v>1031</v>
      </c>
    </row>
    <row r="29" ht="16.5" customHeight="1" s="96">
      <c r="A29" s="25" t="inlineStr">
        <is>
          <t>Gesamtwert nach Invest</t>
        </is>
      </c>
      <c r="F29" s="29">
        <f>F25 + F28</f>
        <v/>
      </c>
    </row>
    <row r="30">
      <c r="A30" s="27" t="inlineStr">
        <is>
          <t>💸 ING-Überweisung (Sparplan)</t>
        </is>
      </c>
      <c r="F30" s="30">
        <f>SUMIFS(P5:P24,D5:D24,"ING")</f>
        <v/>
      </c>
    </row>
    <row r="31">
      <c r="A31" s="66" t="inlineStr">
        <is>
          <t>💰 Cash-Deckung Scalable-Anteil</t>
        </is>
      </c>
      <c r="F31" s="67">
        <f>IF((F28-F30)&lt;=0,0,F27/(F28-F30))</f>
        <v/>
      </c>
    </row>
    <row r="33">
      <c r="A33" s="72" t="inlineStr">
        <is>
          <t>ℹ️ LEGENDE – Spalten-Logik</t>
        </is>
      </c>
    </row>
    <row r="34">
      <c r="A34" s="87" t="inlineStr">
        <is>
          <t>💶 Sparrate (P)</t>
        </is>
      </c>
      <c r="B34" s="88" t="inlineStr">
        <is>
          <t>Automatischer Sparplan: ETF/Gold feste Raten, Aktien Tier-gewichtet (T1/T2/T3). FLAG/DEFCON überschreibt → 0 € bzw. 50% Sockel. Unabhängig vom Tageskurs.</t>
        </is>
      </c>
    </row>
    <row r="35">
      <c r="A35" s="87" t="inlineStr">
        <is>
          <t>📉 Fehlbetrag (J)</t>
        </is>
      </c>
      <c r="B35" s="88" t="inlineStr">
        <is>
          <t>Rebalancing-Signal: Ist vs. Ziel-Portfolio. Steuert NICHT den Sparplan, sondern dient manuellen Eingriffen (Einmalkäufe, Umschichtungen mit extra Cash).</t>
        </is>
      </c>
    </row>
    <row r="36">
      <c r="A36" s="87" t="inlineStr">
        <is>
          <t>🛒 Nachkauf-Signal (R)</t>
        </is>
      </c>
      <c r="B36" s="88" t="inlineStr">
        <is>
          <t>Schlägt an, wenn Fehlbetrag &gt; Schwelle (Parameter B64, akt. 300 €): 🛒 Nachkaufen = stark unter Ziel · ⏸️ Über Ziel = ggf. pausieren · 🚩 FLAG (gesperrt) = unter Ziel, aber FLAG verhindert Nachkauf.</t>
        </is>
      </c>
    </row>
  </sheetData>
  <mergeCells count="2">
    <mergeCell ref="A1:P1"/>
    <mergeCell ref="A2:P2"/>
  </mergeCells>
  <conditionalFormatting sqref="H25">
    <cfRule type="expression" priority="36" dxfId="0">
      <formula>ABS($H$25-1)&gt;0.0001</formula>
    </cfRule>
  </conditionalFormatting>
  <conditionalFormatting sqref="K5:K24">
    <cfRule type="dataBar" priority="38">
      <dataBar>
        <cfvo type="min"/>
        <cfvo type="max"/>
        <color rgb="FF63C384"/>
      </dataBar>
    </cfRule>
  </conditionalFormatting>
  <conditionalFormatting sqref="L5:L24">
    <cfRule type="expression" priority="23" dxfId="16">
      <formula>NOT(ISERROR(SEARCH("Reduzieren",L5)))</formula>
    </cfRule>
    <cfRule type="expression" priority="24" dxfId="15">
      <formula>NOT(ISERROR(SEARCH("Aufstocken",L5)))</formula>
    </cfRule>
    <cfRule type="expression" priority="25" dxfId="14">
      <formula>NOT(ISERROR(SEARCH("Halten",L5)))</formula>
    </cfRule>
  </conditionalFormatting>
  <conditionalFormatting sqref="M5:M24">
    <cfRule type="expression" priority="5" dxfId="13">
      <formula>NOT(ISERROR(SEARCH("ÜBER CAP",M5)))</formula>
    </cfRule>
    <cfRule type="expression" priority="6" dxfId="12">
      <formula>NOT(ISERROR(SEARCH("OK",M5)))</formula>
    </cfRule>
  </conditionalFormatting>
  <conditionalFormatting sqref="N12:N24">
    <cfRule type="containsText" priority="26" operator="containsText" dxfId="8" text="DEFCON 1">
      <formula>NOT(ISERROR(SEARCH("DEFCON 1",N12)))</formula>
    </cfRule>
    <cfRule type="containsText" priority="27" operator="containsText" dxfId="7" text="DEFCON 2">
      <formula>NOT(ISERROR(SEARCH("DEFCON 2",N12)))</formula>
    </cfRule>
    <cfRule type="containsText" priority="28" operator="containsText" dxfId="5" text="DEFCON 3">
      <formula>NOT(ISERROR(SEARCH("DEFCON 3",N12)))</formula>
    </cfRule>
  </conditionalFormatting>
  <conditionalFormatting sqref="O12:O24">
    <cfRule type="containsText" priority="29" operator="containsText" dxfId="8" text="🔴">
      <formula>NOT(ISERROR(SEARCH("🔴",O12)))</formula>
    </cfRule>
    <cfRule type="containsText" priority="30" operator="containsText" dxfId="7" text="🟠">
      <formula>NOT(ISERROR(SEARCH("🟠",O12)))</formula>
    </cfRule>
    <cfRule type="containsText" priority="31" operator="containsText" dxfId="6" text="🟡">
      <formula>NOT(ISERROR(SEARCH("🟡",O12)))</formula>
    </cfRule>
    <cfRule type="containsText" priority="32" operator="containsText" dxfId="5" text="✅">
      <formula>NOT(ISERROR(SEARCH("✅",O12)))</formula>
    </cfRule>
  </conditionalFormatting>
  <conditionalFormatting sqref="P5:P24">
    <cfRule type="expression" priority="15" dxfId="4">
      <formula>P5=""</formula>
    </cfRule>
  </conditionalFormatting>
  <conditionalFormatting sqref="R5:R24">
    <cfRule type="containsText" priority="33" operator="containsText" dxfId="3" text="Nachkaufen">
      <formula>NOT(ISERROR(SEARCH("Nachkaufen",R5)))</formula>
    </cfRule>
    <cfRule type="containsText" priority="34" operator="containsText" dxfId="2" text="Über Ziel">
      <formula>NOT(ISERROR(SEARCH("Über Ziel",R5)))</formula>
    </cfRule>
    <cfRule type="containsText" priority="35" operator="containsText" dxfId="0" text="FLAG">
      <formula>NOT(ISERROR(SEARCH("FLAG",R5)))</formula>
    </cfRule>
  </conditionalFormatting>
  <dataValidations count="4">
    <dataValidation sqref="C5:C24" showDropDown="0" showInputMessage="1" showErrorMessage="1" allowBlank="1" errorTitle="Ungültiger Typ" error="Nur Gold, ETF oder Aktie erlaubt." type="list">
      <formula1>"Gold,ETF,Aktie"</formula1>
    </dataValidation>
    <dataValidation sqref="D5:D24" showDropDown="0" showInputMessage="1" showErrorMessage="1" allowBlank="1" errorTitle="Ungültiger Broker" error="Nur ING oder Scalable erlaubt." type="list">
      <formula1>"ING,Scalable"</formula1>
    </dataValidation>
    <dataValidation sqref="E5:E24" showDropDown="0" showInputMessage="1" showErrorMessage="1" allowBlank="1" errorTitle="Ungültiger US-Faktor" error="US-Faktor muss zwischen 0 und 1 liegen." type="decimal">
      <formula1>0</formula1>
      <formula2>1</formula2>
    </dataValidation>
    <dataValidation sqref="N5:N24" showDropDown="0" showInputMessage="1" showErrorMessage="1" allowBlank="1" errorTitle="DEFCON-Format prüfen" error="Eintrag muss mit 'DEFCON 1'..'DEFCON 4' beginnen." type="custom" errorStyle="warning">
      <formula1>OR(N5="",LEFT(N5,8)="DEFCON 1",LEFT(N5,8)="DEFCON 2",LEFT(N5,8)="DEFCON 3",LEFT(N5,8)="DEFCON 4")</formula1>
    </dataValidation>
  </dataValidations>
  <printOptions horizontalCentered="1"/>
  <pageMargins left="0.25" right="0.25" top="0.3055555555555556" bottom="0.3055555555555556" header="0.5" footer="0.5"/>
  <pageSetup orientation="landscape" paperSize="9" scale="2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96" min="1" max="1"/>
    <col width="12" customWidth="1" style="96" min="2" max="2"/>
    <col width="14" customWidth="1" style="96" min="3" max="3"/>
    <col width="12" customWidth="1" style="96" min="4" max="4"/>
    <col width="14" customWidth="1" style="96" min="5" max="5"/>
  </cols>
  <sheetData>
    <row r="1" ht="18.75" customHeight="1" s="96">
      <c r="A1" s="31" t="inlineStr">
        <is>
          <t xml:space="preserve"> US-EXPOSURE TRACKER</t>
        </is>
      </c>
    </row>
    <row r="3">
      <c r="A3" s="32" t="inlineStr">
        <is>
          <t>Position</t>
        </is>
      </c>
      <c r="B3" s="32" t="inlineStr">
        <is>
          <t>Ticker</t>
        </is>
      </c>
      <c r="C3" s="32" t="inlineStr">
        <is>
          <t>Depotwert €</t>
        </is>
      </c>
      <c r="D3" s="32" t="inlineStr">
        <is>
          <t>US-Faktor</t>
        </is>
      </c>
      <c r="E3" s="32" t="inlineStr">
        <is>
          <t>US-Anteil €</t>
        </is>
      </c>
    </row>
    <row r="4">
      <c r="A4" s="33">
        <f>'Portfolio &amp; Rebalancing'!A5</f>
        <v/>
      </c>
      <c r="B4" s="34">
        <f>'Portfolio &amp; Rebalancing'!B5</f>
        <v/>
      </c>
      <c r="C4" s="35">
        <f>'Portfolio &amp; Rebalancing'!F5</f>
        <v/>
      </c>
      <c r="D4" s="36">
        <f>'Portfolio &amp; Rebalancing'!E5</f>
        <v/>
      </c>
      <c r="E4" s="35">
        <f>C4*D4</f>
        <v/>
      </c>
    </row>
    <row r="5">
      <c r="A5" s="33">
        <f>'Portfolio &amp; Rebalancing'!A6</f>
        <v/>
      </c>
      <c r="B5" s="34">
        <f>'Portfolio &amp; Rebalancing'!B6</f>
        <v/>
      </c>
      <c r="C5" s="35">
        <f>'Portfolio &amp; Rebalancing'!F6</f>
        <v/>
      </c>
      <c r="D5" s="36">
        <f>'Portfolio &amp; Rebalancing'!E6</f>
        <v/>
      </c>
      <c r="E5" s="35">
        <f>C5*D5</f>
        <v/>
      </c>
    </row>
    <row r="6">
      <c r="A6" s="33">
        <f>'Portfolio &amp; Rebalancing'!A7</f>
        <v/>
      </c>
      <c r="B6" s="34">
        <f>'Portfolio &amp; Rebalancing'!B7</f>
        <v/>
      </c>
      <c r="C6" s="35">
        <f>'Portfolio &amp; Rebalancing'!F7</f>
        <v/>
      </c>
      <c r="D6" s="36">
        <f>'Portfolio &amp; Rebalancing'!E7</f>
        <v/>
      </c>
      <c r="E6" s="35">
        <f>C6*D6</f>
        <v/>
      </c>
    </row>
    <row r="7">
      <c r="A7" s="33">
        <f>'Portfolio &amp; Rebalancing'!A8</f>
        <v/>
      </c>
      <c r="B7" s="34">
        <f>'Portfolio &amp; Rebalancing'!B8</f>
        <v/>
      </c>
      <c r="C7" s="35">
        <f>'Portfolio &amp; Rebalancing'!F8</f>
        <v/>
      </c>
      <c r="D7" s="36">
        <f>'Portfolio &amp; Rebalancing'!E8</f>
        <v/>
      </c>
      <c r="E7" s="35">
        <f>C7*D7</f>
        <v/>
      </c>
    </row>
    <row r="8">
      <c r="A8" s="33">
        <f>'Portfolio &amp; Rebalancing'!A9</f>
        <v/>
      </c>
      <c r="B8" s="34">
        <f>'Portfolio &amp; Rebalancing'!B9</f>
        <v/>
      </c>
      <c r="C8" s="35">
        <f>'Portfolio &amp; Rebalancing'!F9</f>
        <v/>
      </c>
      <c r="D8" s="36">
        <f>'Portfolio &amp; Rebalancing'!E9</f>
        <v/>
      </c>
      <c r="E8" s="35">
        <f>C8*D8</f>
        <v/>
      </c>
    </row>
    <row r="9">
      <c r="A9" s="33">
        <f>'Portfolio &amp; Rebalancing'!A10</f>
        <v/>
      </c>
      <c r="B9" s="34">
        <f>'Portfolio &amp; Rebalancing'!B10</f>
        <v/>
      </c>
      <c r="C9" s="35">
        <f>'Portfolio &amp; Rebalancing'!F10</f>
        <v/>
      </c>
      <c r="D9" s="36">
        <f>'Portfolio &amp; Rebalancing'!E10</f>
        <v/>
      </c>
      <c r="E9" s="35">
        <f>C9*D9</f>
        <v/>
      </c>
    </row>
    <row r="10">
      <c r="A10" s="33">
        <f>'Portfolio &amp; Rebalancing'!A11</f>
        <v/>
      </c>
      <c r="B10" s="34">
        <f>'Portfolio &amp; Rebalancing'!B11</f>
        <v/>
      </c>
      <c r="C10" s="35">
        <f>'Portfolio &amp; Rebalancing'!F11</f>
        <v/>
      </c>
      <c r="D10" s="36">
        <f>'Portfolio &amp; Rebalancing'!E11</f>
        <v/>
      </c>
      <c r="E10" s="35">
        <f>C10*D10</f>
        <v/>
      </c>
    </row>
    <row r="11">
      <c r="A11" s="33">
        <f>'Portfolio &amp; Rebalancing'!A12</f>
        <v/>
      </c>
      <c r="B11" s="34">
        <f>'Portfolio &amp; Rebalancing'!B12</f>
        <v/>
      </c>
      <c r="C11" s="35">
        <f>'Portfolio &amp; Rebalancing'!F12</f>
        <v/>
      </c>
      <c r="D11" s="36">
        <f>'Portfolio &amp; Rebalancing'!E12</f>
        <v/>
      </c>
      <c r="E11" s="35">
        <f>C11*D11</f>
        <v/>
      </c>
    </row>
    <row r="12">
      <c r="A12" s="33">
        <f>'Portfolio &amp; Rebalancing'!A13</f>
        <v/>
      </c>
      <c r="B12" s="34">
        <f>'Portfolio &amp; Rebalancing'!B13</f>
        <v/>
      </c>
      <c r="C12" s="35">
        <f>'Portfolio &amp; Rebalancing'!F13</f>
        <v/>
      </c>
      <c r="D12" s="36">
        <f>'Portfolio &amp; Rebalancing'!E13</f>
        <v/>
      </c>
      <c r="E12" s="35">
        <f>C12*D12</f>
        <v/>
      </c>
    </row>
    <row r="13">
      <c r="A13" s="33">
        <f>'Portfolio &amp; Rebalancing'!A14</f>
        <v/>
      </c>
      <c r="B13" s="34">
        <f>'Portfolio &amp; Rebalancing'!B14</f>
        <v/>
      </c>
      <c r="C13" s="35">
        <f>'Portfolio &amp; Rebalancing'!F14</f>
        <v/>
      </c>
      <c r="D13" s="36">
        <f>'Portfolio &amp; Rebalancing'!E14</f>
        <v/>
      </c>
      <c r="E13" s="35">
        <f>C13*D13</f>
        <v/>
      </c>
    </row>
    <row r="14">
      <c r="A14" s="33">
        <f>'Portfolio &amp; Rebalancing'!A15</f>
        <v/>
      </c>
      <c r="B14" s="34">
        <f>'Portfolio &amp; Rebalancing'!B15</f>
        <v/>
      </c>
      <c r="C14" s="35">
        <f>'Portfolio &amp; Rebalancing'!F15</f>
        <v/>
      </c>
      <c r="D14" s="36">
        <f>'Portfolio &amp; Rebalancing'!E15</f>
        <v/>
      </c>
      <c r="E14" s="35">
        <f>C14*D14</f>
        <v/>
      </c>
    </row>
    <row r="15">
      <c r="A15" s="33">
        <f>'Portfolio &amp; Rebalancing'!A16</f>
        <v/>
      </c>
      <c r="B15" s="34">
        <f>'Portfolio &amp; Rebalancing'!B16</f>
        <v/>
      </c>
      <c r="C15" s="35">
        <f>'Portfolio &amp; Rebalancing'!F16</f>
        <v/>
      </c>
      <c r="D15" s="36">
        <f>'Portfolio &amp; Rebalancing'!E16</f>
        <v/>
      </c>
      <c r="E15" s="35">
        <f>C15*D15</f>
        <v/>
      </c>
    </row>
    <row r="16">
      <c r="A16" s="33">
        <f>'Portfolio &amp; Rebalancing'!A17</f>
        <v/>
      </c>
      <c r="B16" s="34">
        <f>'Portfolio &amp; Rebalancing'!B17</f>
        <v/>
      </c>
      <c r="C16" s="35">
        <f>'Portfolio &amp; Rebalancing'!F17</f>
        <v/>
      </c>
      <c r="D16" s="36">
        <f>'Portfolio &amp; Rebalancing'!E17</f>
        <v/>
      </c>
      <c r="E16" s="35">
        <f>C16*D16</f>
        <v/>
      </c>
    </row>
    <row r="17">
      <c r="A17" s="33">
        <f>'Portfolio &amp; Rebalancing'!A18</f>
        <v/>
      </c>
      <c r="B17" s="34">
        <f>'Portfolio &amp; Rebalancing'!B18</f>
        <v/>
      </c>
      <c r="C17" s="35">
        <f>'Portfolio &amp; Rebalancing'!F18</f>
        <v/>
      </c>
      <c r="D17" s="36">
        <f>'Portfolio &amp; Rebalancing'!E18</f>
        <v/>
      </c>
      <c r="E17" s="35">
        <f>C17*D17</f>
        <v/>
      </c>
    </row>
    <row r="18">
      <c r="A18" s="33">
        <f>'Portfolio &amp; Rebalancing'!A19</f>
        <v/>
      </c>
      <c r="B18" s="34">
        <f>'Portfolio &amp; Rebalancing'!B19</f>
        <v/>
      </c>
      <c r="C18" s="35">
        <f>'Portfolio &amp; Rebalancing'!F19</f>
        <v/>
      </c>
      <c r="D18" s="36">
        <f>'Portfolio &amp; Rebalancing'!E19</f>
        <v/>
      </c>
      <c r="E18" s="35">
        <f>C18*D18</f>
        <v/>
      </c>
    </row>
    <row r="19">
      <c r="A19" s="33">
        <f>'Portfolio &amp; Rebalancing'!A20</f>
        <v/>
      </c>
      <c r="B19" s="34">
        <f>'Portfolio &amp; Rebalancing'!B20</f>
        <v/>
      </c>
      <c r="C19" s="35">
        <f>'Portfolio &amp; Rebalancing'!F20</f>
        <v/>
      </c>
      <c r="D19" s="36">
        <f>'Portfolio &amp; Rebalancing'!E20</f>
        <v/>
      </c>
      <c r="E19" s="35">
        <f>C19*D19</f>
        <v/>
      </c>
    </row>
    <row r="20">
      <c r="A20" s="33">
        <f>'Portfolio &amp; Rebalancing'!A21</f>
        <v/>
      </c>
      <c r="B20" s="34">
        <f>'Portfolio &amp; Rebalancing'!B21</f>
        <v/>
      </c>
      <c r="C20" s="35">
        <f>'Portfolio &amp; Rebalancing'!F21</f>
        <v/>
      </c>
      <c r="D20" s="36">
        <f>'Portfolio &amp; Rebalancing'!E21</f>
        <v/>
      </c>
      <c r="E20" s="35">
        <f>C20*D20</f>
        <v/>
      </c>
    </row>
    <row r="21">
      <c r="A21" s="33">
        <f>'Portfolio &amp; Rebalancing'!A22</f>
        <v/>
      </c>
      <c r="B21" s="34">
        <f>'Portfolio &amp; Rebalancing'!B22</f>
        <v/>
      </c>
      <c r="C21" s="35">
        <f>'Portfolio &amp; Rebalancing'!F22</f>
        <v/>
      </c>
      <c r="D21" s="36">
        <f>'Portfolio &amp; Rebalancing'!E22</f>
        <v/>
      </c>
      <c r="E21" s="35">
        <f>C21*D21</f>
        <v/>
      </c>
    </row>
    <row r="22">
      <c r="A22" s="33">
        <f>'Portfolio &amp; Rebalancing'!A23</f>
        <v/>
      </c>
      <c r="B22" s="34">
        <f>'Portfolio &amp; Rebalancing'!B23</f>
        <v/>
      </c>
      <c r="C22" s="35">
        <f>'Portfolio &amp; Rebalancing'!F23</f>
        <v/>
      </c>
      <c r="D22" s="36">
        <f>'Portfolio &amp; Rebalancing'!E23</f>
        <v/>
      </c>
      <c r="E22" s="35">
        <f>C22*D22</f>
        <v/>
      </c>
    </row>
    <row r="23">
      <c r="A23" s="33">
        <f>'Portfolio &amp; Rebalancing'!A24</f>
        <v/>
      </c>
      <c r="B23" s="34">
        <f>'Portfolio &amp; Rebalancing'!B24</f>
        <v/>
      </c>
      <c r="C23" s="35">
        <f>'Portfolio &amp; Rebalancing'!F24</f>
        <v/>
      </c>
      <c r="D23" s="36">
        <f>'Portfolio &amp; Rebalancing'!E24</f>
        <v/>
      </c>
      <c r="E23" s="35">
        <f>C23*D23</f>
        <v/>
      </c>
    </row>
    <row r="24">
      <c r="A24" s="37">
        <f>"GESAMT"</f>
        <v/>
      </c>
      <c r="C24" s="38">
        <f>'Portfolio &amp; Rebalancing'!F25</f>
        <v/>
      </c>
      <c r="E24" s="38">
        <f>SUM(E4:E23)</f>
        <v/>
      </c>
    </row>
    <row r="26">
      <c r="A26" s="37" t="inlineStr">
        <is>
          <t>US-Anteil (Ist)</t>
        </is>
      </c>
      <c r="B26" s="39">
        <f>IF('Portfolio &amp; Rebalancing'!F25=0,0,E24/'Portfolio &amp; Rebalancing'!F25)</f>
        <v/>
      </c>
    </row>
    <row r="27">
      <c r="A27" s="37" t="inlineStr">
        <is>
          <t>US-Anteil (Ziel)</t>
        </is>
      </c>
      <c r="B27" s="39">
        <f>SUMPRODUCT('Portfolio &amp; Rebalancing'!$E$5:$E$24,'Portfolio &amp; Rebalancing'!$I$5:$I$24)/SUM('Portfolio &amp; Rebalancing'!$I$5:$I$24)</f>
        <v/>
      </c>
    </row>
    <row r="28">
      <c r="A28" s="37" t="inlineStr">
        <is>
          <t>US-Hard-Cap</t>
        </is>
      </c>
      <c r="B28" s="40">
        <f>'Parameter &amp; Regeln'!B11</f>
        <v/>
      </c>
    </row>
    <row r="29">
      <c r="A29" s="37" t="inlineStr">
        <is>
          <t>Status (Ist)</t>
        </is>
      </c>
      <c r="B29" s="37">
        <f>IF(B26&gt;B28,"⛔ ÜBER CAP","✅ OK")</f>
        <v/>
      </c>
    </row>
    <row r="30">
      <c r="A30" s="37" t="inlineStr">
        <is>
          <t>Status (Ziel)</t>
        </is>
      </c>
      <c r="B30" s="37">
        <f>IF(B27&gt;B28,"⛔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21" workbookViewId="0">
      <selection activeCell="B26" sqref="B26"/>
    </sheetView>
  </sheetViews>
  <sheetFormatPr baseColWidth="10" defaultColWidth="9.140625" defaultRowHeight="15"/>
  <cols>
    <col width="47" customWidth="1" style="96" min="1" max="1"/>
    <col width="27.7109375" customWidth="1" style="96" min="2" max="2"/>
    <col width="37.42578125" customWidth="1" style="96" min="3" max="3"/>
  </cols>
  <sheetData>
    <row r="1" ht="18.75" customHeight="1" s="96">
      <c r="A1" s="31" t="inlineStr">
        <is>
          <t>⚙️ REBALANCING PARAMETER</t>
        </is>
      </c>
    </row>
    <row r="3">
      <c r="A3" s="32" t="inlineStr">
        <is>
          <t>Parameter</t>
        </is>
      </c>
      <c r="B3" s="32" t="inlineStr">
        <is>
          <t>Wert</t>
        </is>
      </c>
      <c r="C3" s="32" t="inlineStr">
        <is>
          <t>Einheit</t>
        </is>
      </c>
    </row>
    <row r="4">
      <c r="A4" s="33" t="inlineStr">
        <is>
          <t>Sparrate monatlich</t>
        </is>
      </c>
      <c r="B4" s="41" t="n">
        <v>1031</v>
      </c>
      <c r="C4" s="42" t="inlineStr">
        <is>
          <t>€</t>
        </is>
      </c>
    </row>
    <row r="5">
      <c r="A5" s="33" t="inlineStr">
        <is>
          <t>ETF-Core Zielanteil</t>
        </is>
      </c>
      <c r="B5" s="43" t="n">
        <v>0.597</v>
      </c>
      <c r="C5" s="42" t="inlineStr">
        <is>
          <t>%</t>
        </is>
      </c>
    </row>
    <row r="6">
      <c r="A6" s="33" t="inlineStr">
        <is>
          <t>Satelliten Zielanteil</t>
        </is>
      </c>
      <c r="B6" s="43" t="n">
        <v>0.353</v>
      </c>
      <c r="C6" s="42" t="inlineStr">
        <is>
          <t>%</t>
        </is>
      </c>
    </row>
    <row r="7">
      <c r="A7" s="33" t="inlineStr">
        <is>
          <t>Gold Zielanteil</t>
        </is>
      </c>
      <c r="B7" s="43" t="n">
        <v>0.05</v>
      </c>
      <c r="C7" s="42" t="inlineStr">
        <is>
          <t>%</t>
        </is>
      </c>
    </row>
    <row r="8">
      <c r="A8" s="33" t="inlineStr">
        <is>
          <t>Drift-Toleranz ETF/Gold</t>
        </is>
      </c>
      <c r="B8" s="44" t="n">
        <v>0.015</v>
      </c>
      <c r="C8" s="42" t="inlineStr">
        <is>
          <t>%</t>
        </is>
      </c>
    </row>
    <row r="9">
      <c r="A9" s="33" t="inlineStr">
        <is>
          <t>Drift-Toleranz Aktien</t>
        </is>
      </c>
      <c r="B9" s="44" t="n">
        <v>0.04</v>
      </c>
      <c r="C9" s="42" t="inlineStr">
        <is>
          <t>%</t>
        </is>
      </c>
    </row>
    <row r="10">
      <c r="A10" s="33" t="inlineStr">
        <is>
          <t>Single-Stock-Cap</t>
        </is>
      </c>
      <c r="B10" s="43" t="n">
        <v>0.1</v>
      </c>
      <c r="C10" s="42" t="inlineStr">
        <is>
          <t>%</t>
        </is>
      </c>
    </row>
    <row r="11">
      <c r="A11" s="33" t="inlineStr">
        <is>
          <t>US-Hard-Cap</t>
        </is>
      </c>
      <c r="B11" s="43" t="n">
        <v>0.63</v>
      </c>
      <c r="C11" s="42" t="inlineStr">
        <is>
          <t>%</t>
        </is>
      </c>
    </row>
    <row r="12">
      <c r="A12" s="33" t="inlineStr">
        <is>
          <t>Max Aktien Slots</t>
        </is>
      </c>
      <c r="B12" s="42" t="n">
        <v>13</v>
      </c>
    </row>
    <row r="13">
      <c r="A13" s="33" t="inlineStr">
        <is>
          <t>Aktien-Slots belegt</t>
        </is>
      </c>
      <c r="B13" s="42">
        <f>COUNTIF('Portfolio &amp; Rebalancing'!C5:C24,"Aktie")</f>
        <v/>
      </c>
    </row>
    <row r="14">
      <c r="A14" s="33" t="inlineStr">
        <is>
          <t>Gesamt Positionen belegt</t>
        </is>
      </c>
      <c r="B14" s="45">
        <f>COUNTIFS('Portfolio &amp; Rebalancing'!A5:A24,"&lt;&gt;",'Portfolio &amp; Rebalancing'!F5:F24,"&gt;0")</f>
        <v/>
      </c>
    </row>
    <row r="15">
      <c r="A15" s="33" t="inlineStr">
        <is>
          <t>Drift-Warnschwelle (Faktor × Toleranz → K rot)</t>
        </is>
      </c>
      <c r="B15" s="45" t="n">
        <v>3</v>
      </c>
      <c r="C15" s="42" t="inlineStr">
        <is>
          <t>×</t>
        </is>
      </c>
    </row>
    <row r="16">
      <c r="A16" s="33" t="inlineStr">
        <is>
          <t>Allokations-Check (Summe ETF+Sat+Gold)</t>
        </is>
      </c>
      <c r="B16" s="43">
        <f>B5+B6+B7</f>
        <v/>
      </c>
      <c r="C16" s="42" t="inlineStr">
        <is>
          <t>%</t>
        </is>
      </c>
    </row>
    <row r="17" ht="15.75" customHeight="1" s="96">
      <c r="A17" s="46" t="inlineStr">
        <is>
          <t>📋 REBALANCING-REGELN</t>
        </is>
      </c>
    </row>
    <row r="19">
      <c r="A19" s="47" t="inlineStr">
        <is>
          <t>Situation</t>
        </is>
      </c>
      <c r="B19" s="47" t="inlineStr">
        <is>
          <t>Bedeutung</t>
        </is>
      </c>
      <c r="C19" s="47" t="inlineStr">
        <is>
          <t>Aktion</t>
        </is>
      </c>
    </row>
    <row r="20">
      <c r="A20" s="33" t="inlineStr">
        <is>
          <t>Abweichung negativ (rot)</t>
        </is>
      </c>
      <c r="B20" s="42" t="inlineStr">
        <is>
          <t>Untergewicht</t>
        </is>
      </c>
      <c r="C20" s="42" t="inlineStr">
        <is>
          <t>📈 Sparrate erhöhen/starten</t>
        </is>
      </c>
    </row>
    <row r="21">
      <c r="A21" s="33" t="inlineStr">
        <is>
          <t>Abweichung positiv (gelb)</t>
        </is>
      </c>
      <c r="B21" s="42" t="inlineStr">
        <is>
          <t>Übergewicht</t>
        </is>
      </c>
      <c r="C21" s="42" t="inlineStr">
        <is>
          <t>📉 Sparrate stoppen/drosseln</t>
        </is>
      </c>
    </row>
    <row r="22">
      <c r="A22" s="33" t="inlineStr">
        <is>
          <t>Innerhalb Toleranz (grün)</t>
        </is>
      </c>
      <c r="B22" s="42" t="inlineStr">
        <is>
          <t>Gleichgewicht</t>
        </is>
      </c>
      <c r="C22" s="42" t="inlineStr">
        <is>
          <t>⚖️ Sparrate weiterführen</t>
        </is>
      </c>
    </row>
    <row r="23">
      <c r="A23" s="33" t="inlineStr">
        <is>
          <t>NIEMALS durch Verkauf rebalancen</t>
        </is>
      </c>
      <c r="B23" s="42" t="inlineStr">
        <is>
          <t>Steuer-Bremse</t>
        </is>
      </c>
      <c r="C23" s="42" t="inlineStr">
        <is>
          <t>Nur Sparplan umleiten</t>
        </is>
      </c>
    </row>
    <row r="25">
      <c r="A25" s="48" t="inlineStr">
        <is>
          <t>Satelliten-Budget / Monat</t>
        </is>
      </c>
      <c r="B25" s="54">
        <f>B4*B6</f>
        <v/>
      </c>
      <c r="C25" s="49" t="inlineStr">
        <is>
          <t>€</t>
        </is>
      </c>
    </row>
    <row r="26">
      <c r="A26" s="48" t="inlineStr">
        <is>
          <t>Aktive Aktien (DEFCON 3+, kein 🔴 FLAG)</t>
        </is>
      </c>
      <c r="B26" s="56">
        <f>COUNTIFS('Portfolio &amp; Rebalancing'!C5:C24,"Aktie",'Portfolio &amp; Rebalancing'!N5:N24,"DEFCON 4*",'Portfolio &amp; Rebalancing'!O5:O24,"&lt;&gt;🔴*")+COUNTIFS('Portfolio &amp; Rebalancing'!C5:C24,"Aktie",'Portfolio &amp; Rebalancing'!N5:N24,"DEFCON 3*",'Portfolio &amp; Rebalancing'!O5:O24,"&lt;&gt;🔴*")</f>
        <v/>
      </c>
    </row>
    <row r="27">
      <c r="A27" s="50" t="inlineStr">
        <is>
          <t>DEFCON-2-Sockelbetrag (% der vollen Rate)</t>
        </is>
      </c>
      <c r="B27" s="55" t="n">
        <v>0.5</v>
      </c>
      <c r="C27" s="53" t="inlineStr">
        <is>
          <t>%</t>
        </is>
      </c>
    </row>
    <row r="28">
      <c r="A28" s="51" t="inlineStr">
        <is>
          <t>📋 DEFCON-SPARRATEN-LOGIK</t>
        </is>
      </c>
    </row>
    <row r="29">
      <c r="A29" s="50" t="inlineStr">
        <is>
          <t>DEFCON 4 oder 3 (kein 🔴 FLAG)</t>
        </is>
      </c>
      <c r="B29" s="52" t="inlineStr">
        <is>
          <t>Volle Sparrate (Gewicht 1.0)</t>
        </is>
      </c>
      <c r="C29" s="50" t="inlineStr">
        <is>
          <t>Budget ÷ Σ Gewichte × 1.0</t>
        </is>
      </c>
    </row>
    <row r="30">
      <c r="A30" s="50" t="inlineStr">
        <is>
          <t>DEFCON 2 (kein 🔴 FLAG)</t>
        </is>
      </c>
      <c r="B30" s="52" t="inlineStr">
        <is>
          <t>50% Sockelbetrag (Gewicht 0.5)</t>
        </is>
      </c>
      <c r="C30" s="50" t="inlineStr">
        <is>
          <t>Budget ÷ Σ Gewichte × 0.5 — Position halten</t>
        </is>
      </c>
    </row>
    <row r="31">
      <c r="A31" s="50" t="inlineStr">
        <is>
          <t>DEFCON 1 (egal welcher FLAG)</t>
        </is>
      </c>
      <c r="B31" s="52" t="inlineStr">
        <is>
          <t>0 € – eingefroren</t>
        </is>
      </c>
      <c r="C31" s="50" t="inlineStr">
        <is>
          <t>Exit-Kandidat — Auswechslung prüfen</t>
        </is>
      </c>
    </row>
    <row r="32">
      <c r="A32" s="50" t="inlineStr">
        <is>
          <t>🔴 FLAG (egal welcher DEFCON)</t>
        </is>
      </c>
      <c r="B32" s="52" t="inlineStr">
        <is>
          <t>0 € – eingefroren</t>
        </is>
      </c>
      <c r="C32" s="50" t="inlineStr">
        <is>
          <t>🔴 FLAG überschreibt jeden Score</t>
        </is>
      </c>
    </row>
    <row r="34">
      <c r="A34" s="68" t="inlineStr">
        <is>
          <t>🎯 TIER-SYSTEM (Satelliten-Gewichtung)</t>
        </is>
      </c>
    </row>
    <row r="35">
      <c r="A35" s="50" t="inlineStr">
        <is>
          <t>Tier 1 – Gewicht/SOLL-Rate</t>
        </is>
      </c>
      <c r="B35" s="69" t="n">
        <v>40</v>
      </c>
      <c r="C35" s="50" t="inlineStr">
        <is>
          <t>AMZN · MSFT · NOW · AVGO</t>
        </is>
      </c>
    </row>
    <row r="36">
      <c r="A36" s="50" t="inlineStr">
        <is>
          <t>Tier 2 – Gewicht/SOLL-Rate</t>
        </is>
      </c>
      <c r="B36" s="69" t="n">
        <v>32</v>
      </c>
      <c r="C36" s="50" t="inlineStr">
        <is>
          <t>V · KYCCF · ASML</t>
        </is>
      </c>
    </row>
    <row r="37">
      <c r="A37" s="50" t="inlineStr">
        <is>
          <t>Tier 3 – Gewicht/SOLL-Rate</t>
        </is>
      </c>
      <c r="B37" s="69" t="n">
        <v>18</v>
      </c>
      <c r="C37" s="50" t="inlineStr">
        <is>
          <t>RMS · BRK.B · TMO · APH · SU · ZETA</t>
        </is>
      </c>
    </row>
    <row r="39">
      <c r="A39" s="68" t="inlineStr">
        <is>
          <t>🎯 TIER-ZUORDNUNG (Ticker → Tier-Faktor)</t>
        </is>
      </c>
    </row>
    <row r="40">
      <c r="A40" s="70" t="inlineStr">
        <is>
          <t>Ticker</t>
        </is>
      </c>
      <c r="B40" s="71" t="inlineStr">
        <is>
          <t>Tier</t>
        </is>
      </c>
      <c r="C40" s="70" t="inlineStr">
        <is>
          <t>Faktor</t>
        </is>
      </c>
    </row>
    <row r="41">
      <c r="A41" t="inlineStr">
        <is>
          <t>AMZN</t>
        </is>
      </c>
      <c r="B41" t="n">
        <v>1</v>
      </c>
      <c r="C41">
        <f>$B$35</f>
        <v/>
      </c>
    </row>
    <row r="42">
      <c r="A42" t="inlineStr">
        <is>
          <t>MSFT</t>
        </is>
      </c>
      <c r="B42" t="n">
        <v>1</v>
      </c>
      <c r="C42">
        <f>$B$35</f>
        <v/>
      </c>
    </row>
    <row r="43">
      <c r="A43" t="inlineStr">
        <is>
          <t>NOW</t>
        </is>
      </c>
      <c r="B43" t="n">
        <v>1</v>
      </c>
      <c r="C43">
        <f>$B$35</f>
        <v/>
      </c>
    </row>
    <row r="44">
      <c r="A44" t="inlineStr">
        <is>
          <t>AVGO</t>
        </is>
      </c>
      <c r="B44" t="n">
        <v>1</v>
      </c>
      <c r="C44">
        <f>$B$35</f>
        <v/>
      </c>
    </row>
    <row r="45">
      <c r="A45" t="inlineStr">
        <is>
          <t>V</t>
        </is>
      </c>
      <c r="B45" t="n">
        <v>2</v>
      </c>
      <c r="C45">
        <f>$B$36</f>
        <v/>
      </c>
    </row>
    <row r="46">
      <c r="A46" t="inlineStr">
        <is>
          <t>KYCCF</t>
        </is>
      </c>
      <c r="B46" t="n">
        <v>2</v>
      </c>
      <c r="C46">
        <f>$B$36</f>
        <v/>
      </c>
    </row>
    <row r="47">
      <c r="A47" t="inlineStr">
        <is>
          <t>ASML</t>
        </is>
      </c>
      <c r="B47" t="n">
        <v>2</v>
      </c>
      <c r="C47">
        <f>$B$36</f>
        <v/>
      </c>
    </row>
    <row r="48">
      <c r="A48" t="inlineStr">
        <is>
          <t>RMS</t>
        </is>
      </c>
      <c r="B48" t="n">
        <v>3</v>
      </c>
      <c r="C48">
        <f>$B$37</f>
        <v/>
      </c>
    </row>
    <row r="49">
      <c r="A49" t="inlineStr">
        <is>
          <t>BRK.B</t>
        </is>
      </c>
      <c r="B49" t="n">
        <v>3</v>
      </c>
      <c r="C49">
        <f>$B$37</f>
        <v/>
      </c>
    </row>
    <row r="50">
      <c r="A50" t="inlineStr">
        <is>
          <t>TMO</t>
        </is>
      </c>
      <c r="B50" t="n">
        <v>3</v>
      </c>
      <c r="C50">
        <f>$B$37</f>
        <v/>
      </c>
    </row>
    <row r="51">
      <c r="A51" t="inlineStr">
        <is>
          <t>APH</t>
        </is>
      </c>
      <c r="B51" t="n">
        <v>3</v>
      </c>
      <c r="C51">
        <f>$B$37</f>
        <v/>
      </c>
    </row>
    <row r="52">
      <c r="A52" t="inlineStr">
        <is>
          <t>SU</t>
        </is>
      </c>
      <c r="B52" t="n">
        <v>3</v>
      </c>
      <c r="C52">
        <f>$B$37</f>
        <v/>
      </c>
    </row>
    <row r="53">
      <c r="A53" t="inlineStr">
        <is>
          <t>ZETA</t>
        </is>
      </c>
      <c r="B53" t="n">
        <v>3</v>
      </c>
      <c r="C53">
        <f>$B$37</f>
        <v/>
      </c>
    </row>
    <row r="55">
      <c r="A55" s="72" t="inlineStr">
        <is>
          <t>💶 FESTE SPARRATEN ETF/GOLD (€/Monat)</t>
        </is>
      </c>
    </row>
    <row r="56">
      <c r="A56" t="inlineStr">
        <is>
          <t>EWG2</t>
        </is>
      </c>
      <c r="B56" s="73" t="n">
        <v>51</v>
      </c>
    </row>
    <row r="57">
      <c r="A57" t="inlineStr">
        <is>
          <t>IWDA</t>
        </is>
      </c>
      <c r="B57" s="73" t="n">
        <v>206</v>
      </c>
    </row>
    <row r="58">
      <c r="A58" t="inlineStr">
        <is>
          <t>EIMI</t>
        </is>
      </c>
      <c r="B58" s="73" t="n">
        <v>123</v>
      </c>
    </row>
    <row r="59">
      <c r="A59" t="inlineStr">
        <is>
          <t>EXUS</t>
        </is>
      </c>
      <c r="B59" s="73" t="n">
        <v>82</v>
      </c>
    </row>
    <row r="60">
      <c r="A60" t="inlineStr">
        <is>
          <t>AVGC</t>
        </is>
      </c>
      <c r="B60" s="73" t="n">
        <v>82</v>
      </c>
    </row>
    <row r="61">
      <c r="A61" t="inlineStr">
        <is>
          <t>JEDI</t>
        </is>
      </c>
      <c r="B61" s="73" t="n">
        <v>72</v>
      </c>
    </row>
    <row r="62">
      <c r="A62" t="inlineStr">
        <is>
          <t>WQTM</t>
        </is>
      </c>
      <c r="B62" s="73" t="n">
        <v>51</v>
      </c>
    </row>
    <row r="64">
      <c r="A64" s="72" t="inlineStr">
        <is>
          <t>📌 REBALANCING-SIGNAL (manuell)</t>
        </is>
      </c>
    </row>
    <row r="65">
      <c r="A65" t="inlineStr">
        <is>
          <t>Schwelle Fehlbetrag für Nachkauf-Signal (€)</t>
        </is>
      </c>
      <c r="B65" s="73" t="n">
        <v>300</v>
      </c>
    </row>
  </sheetData>
  <conditionalFormatting sqref="B16">
    <cfRule type="expression" priority="1" dxfId="0">
      <formula>ABS($B$16-1)&gt;0.0001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2026-06-13T09:21:08Z</dcterms:modified>
  <cp:lastModifiedBy>Tobias Kowalski</cp:lastModifiedBy>
</cp:coreProperties>
</file>