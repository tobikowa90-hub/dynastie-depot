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&amp; Rebalancing" sheetId="1" state="visible" r:id="rId3"/>
    <sheet name="US-Exposure" sheetId="2" state="visible" r:id="rId4"/>
    <sheet name="Parameter &amp; Regel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<sst xmlns="http://schemas.openxmlformats.org/spreadsheetml/2006/main" count="185" uniqueCount="136">
  <si>
    <t xml:space="preserve">🦅 DYNASTIE-DEPOT – Rebalancing Tool v3.3</t>
  </si>
  <si>
    <t xml:space="preserve">Position</t>
  </si>
  <si>
    <t xml:space="preserve">Ticker</t>
  </si>
  <si>
    <t xml:space="preserve">Typ</t>
  </si>
  <si>
    <t xml:space="preserve">Broker</t>
  </si>
  <si>
    <t xml:space="preserve">US-
Faktor</t>
  </si>
  <si>
    <t xml:space="preserve">Depotwert
€</t>
  </si>
  <si>
    <t xml:space="preserve">Ist-
Anteil %</t>
  </si>
  <si>
    <t xml:space="preserve">Ziel-
Anteil %</t>
  </si>
  <si>
    <t xml:space="preserve">Zielwert
€</t>
  </si>
  <si>
    <t xml:space="preserve">Fehlbetrag
€</t>
  </si>
  <si>
    <t xml:space="preserve">Abw.
%</t>
  </si>
  <si>
    <t xml:space="preserve">Aktion</t>
  </si>
  <si>
    <t xml:space="preserve">⚠️ Cap-
Check</t>
  </si>
  <si>
    <t xml:space="preserve">DEFCON
Score</t>
  </si>
  <si>
    <t xml:space="preserve">🚩 FLAG-Status</t>
  </si>
  <si>
    <t xml:space="preserve">💶 Sparrate
€/Monat</t>
  </si>
  <si>
    <t xml:space="preserve">EUWAX Gold</t>
  </si>
  <si>
    <t xml:space="preserve">EWG2</t>
  </si>
  <si>
    <t xml:space="preserve">Gold</t>
  </si>
  <si>
    <t xml:space="preserve">Scalable</t>
  </si>
  <si>
    <t xml:space="preserve">iShares MSCI World</t>
  </si>
  <si>
    <t xml:space="preserve">IWDA</t>
  </si>
  <si>
    <t xml:space="preserve">ETF</t>
  </si>
  <si>
    <t xml:space="preserve">ING</t>
  </si>
  <si>
    <t xml:space="preserve">iShares MSCI EM IMI</t>
  </si>
  <si>
    <t xml:space="preserve">EIMI</t>
  </si>
  <si>
    <t xml:space="preserve">MSCI World ex-USA</t>
  </si>
  <si>
    <t xml:space="preserve">EXUSA</t>
  </si>
  <si>
    <t xml:space="preserve">Avantis Small Cap Value</t>
  </si>
  <si>
    <t xml:space="preserve">AVGC</t>
  </si>
  <si>
    <t xml:space="preserve">ASML Holding</t>
  </si>
  <si>
    <t xml:space="preserve">ASML</t>
  </si>
  <si>
    <t xml:space="preserve">Aktie</t>
  </si>
  <si>
    <t xml:space="preserve">DEFCON 3 (68)</t>
  </si>
  <si>
    <t xml:space="preserve">🟡 DEFCON 3 (68) | China Rev 14.7% Risk-Map | 50% Sockelbetrag</t>
  </si>
  <si>
    <t xml:space="preserve">Broadcom</t>
  </si>
  <si>
    <t xml:space="preserve">AVGO</t>
  </si>
  <si>
    <t xml:space="preserve">DEFCON 4 (86)</t>
  </si>
  <si>
    <t xml:space="preserve">✅ Clean (Insider-Check ausstehend — OpenInsider vor Q3 FY26 Earnings prüfen)</t>
  </si>
  <si>
    <t xml:space="preserve">Microsoft</t>
  </si>
  <si>
    <t xml:space="preserve">MSFT</t>
  </si>
  <si>
    <t xml:space="preserve">DEFCON 2 (60)</t>
  </si>
  <si>
    <t xml:space="preserve">🔴 FLAG: CapEx/OCF &gt;60% | Score 60 | DEFCON 2 | Re-Check 29.04.</t>
  </si>
  <si>
    <t xml:space="preserve">Costco</t>
  </si>
  <si>
    <t xml:space="preserve">COST</t>
  </si>
  <si>
    <t xml:space="preserve">DEFCON 4 (~80)</t>
  </si>
  <si>
    <t xml:space="preserve">✅ Clean</t>
  </si>
  <si>
    <t xml:space="preserve">Hermès</t>
  </si>
  <si>
    <t xml:space="preserve">RMS</t>
  </si>
  <si>
    <t xml:space="preserve">DEFCON 4 (71)</t>
  </si>
  <si>
    <t xml:space="preserve">Veeva Systems</t>
  </si>
  <si>
    <t xml:space="preserve">VEEV</t>
  </si>
  <si>
    <t xml:space="preserve">DEFCON 4 (74)</t>
  </si>
  <si>
    <t xml:space="preserve">Schneider Electric</t>
  </si>
  <si>
    <t xml:space="preserve">SU</t>
  </si>
  <si>
    <t xml:space="preserve">Berkshire Hathaway</t>
  </si>
  <si>
    <t xml:space="preserve">BRK.B</t>
  </si>
  <si>
    <t xml:space="preserve">Visa</t>
  </si>
  <si>
    <t xml:space="preserve">V</t>
  </si>
  <si>
    <t xml:space="preserve">Thermo Fisher</t>
  </si>
  <si>
    <t xml:space="preserve">TMO</t>
  </si>
  <si>
    <t xml:space="preserve">DEFCON 3 (67)</t>
  </si>
  <si>
    <t xml:space="preserve">🟡 DEFCON 3 (67) | Clario-Watch | 50% Sockelbetrag | Re-Analyse 23.04.</t>
  </si>
  <si>
    <t xml:space="preserve">Amphenol</t>
  </si>
  <si>
    <t xml:space="preserve">APH</t>
  </si>
  <si>
    <t xml:space="preserve">DEFCON 3 (61)</t>
  </si>
  <si>
    <t xml:space="preserve">🔴 FLAG: Score 61 (DEFCON 3) | Tariff-Check done: CN 14.7% Risk-Map | Sparrate 0€</t>
  </si>
  <si>
    <t xml:space="preserve">📊 GESAMT</t>
  </si>
  <si>
    <t xml:space="preserve">Ø Drift ges.</t>
  </si>
  <si>
    <t xml:space="preserve">Ø ETF/Gold-Drift</t>
  </si>
  <si>
    <t xml:space="preserve">⚠️ DEFCON ≤ 3</t>
  </si>
  <si>
    <t xml:space="preserve">🚩 Aktive FLAGs</t>
  </si>
  <si>
    <t xml:space="preserve">Check: Sparrate gesamt</t>
  </si>
  <si>
    <t xml:space="preserve">Scalable Cash (verfügbar)</t>
  </si>
  <si>
    <t xml:space="preserve">📝 Neuinvestition (manuell eingeben)</t>
  </si>
  <si>
    <t xml:space="preserve">Gesamtwert nach Invest</t>
  </si>
  <si>
    <t xml:space="preserve">Noch zu überweisen (ING + Δ Scalable)</t>
  </si>
  <si>
    <t xml:space="preserve"> US-EXPOSURE TRACKER</t>
  </si>
  <si>
    <t xml:space="preserve">Depotwert €</t>
  </si>
  <si>
    <t xml:space="preserve">US-Faktor</t>
  </si>
  <si>
    <t xml:space="preserve">US-Anteil €</t>
  </si>
  <si>
    <t xml:space="preserve">GESAMT</t>
  </si>
  <si>
    <t xml:space="preserve">US-Anteil (Ist)</t>
  </si>
  <si>
    <t xml:space="preserve">US-Anteil (Ziel)</t>
  </si>
  <si>
    <t xml:space="preserve">US-Hard-Cap</t>
  </si>
  <si>
    <t xml:space="preserve">Status (Ist)</t>
  </si>
  <si>
    <t xml:space="preserve">Status (Ziel)</t>
  </si>
  <si>
    <t xml:space="preserve">⚙️ REBALANCING PARAMETER</t>
  </si>
  <si>
    <t xml:space="preserve">Parameter</t>
  </si>
  <si>
    <t xml:space="preserve">Wert</t>
  </si>
  <si>
    <t xml:space="preserve">Einheit</t>
  </si>
  <si>
    <t xml:space="preserve">Sparrate monatlich</t>
  </si>
  <si>
    <t xml:space="preserve">€</t>
  </si>
  <si>
    <t xml:space="preserve">ETF-Core Zielanteil</t>
  </si>
  <si>
    <t xml:space="preserve">%</t>
  </si>
  <si>
    <t xml:space="preserve">Satelliten Zielanteil</t>
  </si>
  <si>
    <t xml:space="preserve">Gold Zielanteil</t>
  </si>
  <si>
    <t xml:space="preserve">Drift-Toleranz ETF/Gold</t>
  </si>
  <si>
    <t xml:space="preserve">Drift-Toleranz Aktien</t>
  </si>
  <si>
    <t xml:space="preserve">Single-Stock-Cap</t>
  </si>
  <si>
    <t xml:space="preserve">Max Aktien Slots</t>
  </si>
  <si>
    <t xml:space="preserve">Aktien-Slots belegt</t>
  </si>
  <si>
    <t xml:space="preserve">Gesamt Positionen belegt</t>
  </si>
  <si>
    <t xml:space="preserve">Drift-Warnschwelle (gelb)</t>
  </si>
  <si>
    <t xml:space="preserve">Allokations-Check (Summe ETF+Sat+Gold)</t>
  </si>
  <si>
    <t xml:space="preserve">📋 REBALANCING-REGELN</t>
  </si>
  <si>
    <t xml:space="preserve">Situation</t>
  </si>
  <si>
    <t xml:space="preserve">Bedeutung</t>
  </si>
  <si>
    <t xml:space="preserve">Abweichung negativ (rot)</t>
  </si>
  <si>
    <t xml:space="preserve">Untergewicht</t>
  </si>
  <si>
    <t xml:space="preserve">📈 Sparrate erhöhen/starten</t>
  </si>
  <si>
    <t xml:space="preserve">Abweichung positiv (gelb)</t>
  </si>
  <si>
    <t xml:space="preserve">Übergewicht</t>
  </si>
  <si>
    <t xml:space="preserve">📉 Sparrate stoppen/drosseln</t>
  </si>
  <si>
    <t xml:space="preserve">Innerhalb Toleranz (grün)</t>
  </si>
  <si>
    <t xml:space="preserve">Gleichgewicht</t>
  </si>
  <si>
    <t xml:space="preserve">⚖️ Sparrate weiterführen</t>
  </si>
  <si>
    <t xml:space="preserve">NIEMALS durch Verkauf rebalancen</t>
  </si>
  <si>
    <t xml:space="preserve">Steuer-Bremse</t>
  </si>
  <si>
    <t xml:space="preserve">Nur Sparplan umleiten</t>
  </si>
  <si>
    <t xml:space="preserve">Satelliten-Budget / Monat</t>
  </si>
  <si>
    <t xml:space="preserve">Aktive D4-Clean Positionen (Gewicht 1.0)</t>
  </si>
  <si>
    <t xml:space="preserve">DEFCON-3-Sockelbetrag (% der vollen Rate)</t>
  </si>
  <si>
    <t xml:space="preserve">📋 DEFCON-SPARRATEN-LOGIK (v3.3 — 15.04.2026)</t>
  </si>
  <si>
    <t xml:space="preserve">DEFCON 4 + ✅ Clean</t>
  </si>
  <si>
    <t xml:space="preserve">Volle Sparrate</t>
  </si>
  <si>
    <t xml:space="preserve">Budget ÷ (Σ D4-Clean + Σ D3×0.5)</t>
  </si>
  <si>
    <t xml:space="preserve">DEFCON 3 (kein FLAG)</t>
  </si>
  <si>
    <t xml:space="preserve">50% Sockelbetrag</t>
  </si>
  <si>
    <t xml:space="preserve">Minimales Rebalancing – Position halten</t>
  </si>
  <si>
    <t xml:space="preserve">FLAG aktiv (beliebig) oder DEFCON ≤ 2</t>
  </si>
  <si>
    <t xml:space="preserve">0 € – gestoppt</t>
  </si>
  <si>
    <t xml:space="preserve">FLAG überschreibt Score (heilig)</t>
  </si>
  <si>
    <t xml:space="preserve">Formel: Budget ÷ (D4-Clean×1.0 + D3×0.5)</t>
  </si>
  <si>
    <t xml:space="preserve">€ = D4-Vollrate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</si>
</sst>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0.00"/>
    <numFmt numFmtId="167" formatCode="#,##0&quot; €&quot;"/>
    <numFmt numFmtId="168" formatCode="0.00%"/>
    <numFmt numFmtId="169" formatCode="0"/>
    <numFmt numFmtId="170" formatCode="#,##0.00&quot; €&quot;"/>
    <numFmt numFmtId="171" formatCode="0%"/>
    <numFmt numFmtId="172" formatCode="0&quot; Positionen&quot;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.5"/>
      <color rgb="FF000000"/>
      <name val="Calibri"/>
      <family val="0"/>
      <charset val="1"/>
    </font>
    <font>
      <b val="true"/>
      <sz val="9.5"/>
      <color rgb="FF1F3864"/>
      <name val="Calibri"/>
      <family val="0"/>
      <charset val="1"/>
    </font>
    <font>
      <i val="true"/>
      <sz val="9"/>
      <color rgb="FF4472C4"/>
      <name val="Calibri"/>
      <family val="0"/>
      <charset val="1"/>
    </font>
    <font>
      <b val="true"/>
      <sz val="9.5"/>
      <color rgb="FF2E4057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9.5"/>
      <color rgb="FFC00000"/>
      <name val="Calibri"/>
      <family val="0"/>
      <charset val="1"/>
    </font>
    <font>
      <b val="true"/>
      <sz val="14"/>
      <color rgb="FF1E3A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2"/>
      <charset val="1"/>
    </font>
    <font>
      <b val="true"/>
      <sz val="1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0"/>
      <color rgb="FF0000FF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1E3A5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9.5"/>
      <color rgb="FF00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EEAF1"/>
        <bgColor rgb="FFDCE6F2"/>
      </patternFill>
    </fill>
    <fill>
      <patternFill patternType="solid">
        <fgColor rgb="FFEBF3FB"/>
        <bgColor rgb="FFF2F2F2"/>
      </patternFill>
    </fill>
    <fill>
      <patternFill patternType="solid">
        <fgColor theme="4" tint="0.7998"/>
        <bgColor rgb="FFDEEAF1"/>
      </patternFill>
    </fill>
    <fill>
      <patternFill patternType="solid">
        <fgColor rgb="FF1F3864"/>
        <bgColor rgb="FF1E3A5F"/>
      </patternFill>
    </fill>
    <fill>
      <patternFill patternType="solid">
        <fgColor rgb="FFFFF8E7"/>
        <bgColor rgb="FFF0F9F0"/>
      </patternFill>
    </fill>
    <fill>
      <patternFill patternType="solid">
        <fgColor rgb="FFF0F9F0"/>
        <bgColor rgb="FFF2F2F2"/>
      </patternFill>
    </fill>
    <fill>
      <patternFill patternType="solid">
        <fgColor rgb="FFFFFFFF"/>
        <bgColor rgb="FFF8FBFF"/>
      </patternFill>
    </fill>
    <fill>
      <patternFill patternType="solid">
        <fgColor rgb="FFF5F5FF"/>
        <bgColor rgb="FFF8FBFF"/>
      </patternFill>
    </fill>
    <fill>
      <patternFill patternType="solid">
        <fgColor rgb="FFD6E4F0"/>
        <bgColor rgb="FFD9E1F2"/>
      </patternFill>
    </fill>
    <fill>
      <patternFill patternType="solid">
        <fgColor rgb="FFF8FBFF"/>
        <bgColor rgb="FFF5F5FF"/>
      </patternFill>
    </fill>
    <fill>
      <patternFill patternType="solid">
        <fgColor rgb="FFFFFF00"/>
        <bgColor rgb="FFFFD700"/>
      </patternFill>
    </fill>
    <fill>
      <patternFill patternType="solid">
        <fgColor rgb="FF1E3A5F"/>
        <bgColor rgb="FF1F3864"/>
      </patternFill>
    </fill>
    <fill>
      <patternFill patternType="solid">
        <fgColor rgb="FF2E75B6"/>
        <bgColor rgb="FF4472C4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medium">
        <color rgb="FF2E75B6"/>
      </bottom>
      <diagonal/>
    </border>
    <border diagonalUp="false" diagonalDown="false">
      <left style="thin">
        <color rgb="FF4472C4"/>
      </left>
      <right style="thin">
        <color rgb="FF4472C4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medium">
        <color rgb="FF9DC3E6"/>
      </bottom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1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color rgb="FF7D6608"/>
      </font>
      <fill>
        <patternFill>
          <bgColor rgb="FFFFD700"/>
        </patternFill>
      </fill>
    </dxf>
    <dxf>
      <font>
        <color rgb="FF7B0000"/>
      </font>
      <fill>
        <patternFill>
          <bgColor rgb="FFFF4C4C"/>
        </patternFill>
      </fill>
    </dxf>
    <dxf>
      <font>
        <color rgb="FFFFFFFF"/>
      </font>
      <fill>
        <patternFill>
          <bgColor rgb="FF00B050"/>
        </patternFill>
      </fill>
    </dxf>
    <dxf>
      <font>
        <b val="1"/>
        <color rgb="FF7B0000"/>
      </font>
      <fill>
        <patternFill>
          <bgColor rgb="FFFF4C4C"/>
        </patternFill>
      </fill>
    </dxf>
    <dxf>
      <font>
        <b val="1"/>
        <color rgb="FFFFFFFF"/>
      </font>
      <fill>
        <patternFill>
          <bgColor rgb="FFFF4D4D"/>
        </patternFill>
      </fill>
    </dxf>
    <dxf>
      <font>
        <name val="Calibri"/>
        <charset val="1"/>
        <family val="0"/>
        <b val="1"/>
        <color rgb="FF276221"/>
        <sz val="1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5700"/>
        <sz val="11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7E3700"/>
        <sz val="11"/>
      </font>
      <fill>
        <patternFill>
          <bgColor rgb="FFFFCC88"/>
        </patternFill>
      </fill>
    </dxf>
    <dxf>
      <font>
        <name val="Calibri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AAAAAA"/>
        <sz val="11"/>
      </font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F8FBFF"/>
      <rgbColor rgb="FF7B0000"/>
      <rgbColor rgb="FF276221"/>
      <rgbColor rgb="FF000080"/>
      <rgbColor rgb="FF7D6608"/>
      <rgbColor rgb="FF800080"/>
      <rgbColor rgb="FF008080"/>
      <rgbColor rgb="FFD9D9D9"/>
      <rgbColor rgb="FFF5F5FF"/>
      <rgbColor rgb="FFD6E4F0"/>
      <rgbColor rgb="FF9C5700"/>
      <rgbColor rgb="FFFFF8E7"/>
      <rgbColor rgb="FFEBF3FB"/>
      <rgbColor rgb="FF660066"/>
      <rgbColor rgb="FFFF4C4C"/>
      <rgbColor rgb="FF2E75B6"/>
      <rgbColor rgb="FFBDD7EE"/>
      <rgbColor rgb="FF000080"/>
      <rgbColor rgb="FFFF00FF"/>
      <rgbColor rgb="FFF0F9F0"/>
      <rgbColor rgb="FF00FFFF"/>
      <rgbColor rgb="FF800080"/>
      <rgbColor rgb="FF9C0006"/>
      <rgbColor rgb="FF008080"/>
      <rgbColor rgb="FF0000FF"/>
      <rgbColor rgb="FF00CCFF"/>
      <rgbColor rgb="FFDEEAF1"/>
      <rgbColor rgb="FFC6EFCE"/>
      <rgbColor rgb="FFFFEB9C"/>
      <rgbColor rgb="FF9DC3E6"/>
      <rgbColor rgb="FFFFC7CE"/>
      <rgbColor rgb="FFD9E1F2"/>
      <rgbColor rgb="FFFFCC88"/>
      <rgbColor rgb="FF4472C4"/>
      <rgbColor rgb="FFF2F2F2"/>
      <rgbColor rgb="FFDCE6F2"/>
      <rgbColor rgb="FFFFD700"/>
      <rgbColor rgb="FFFFC000"/>
      <rgbColor rgb="FFFF4D4D"/>
      <rgbColor rgb="FF666666"/>
      <rgbColor rgb="FFAAAAAA"/>
      <rgbColor rgb="FF1F3864"/>
      <rgbColor rgb="FF00B050"/>
      <rgbColor rgb="FF003300"/>
      <rgbColor rgb="FF375623"/>
      <rgbColor rgb="FF7E3700"/>
      <rgbColor rgb="FF993366"/>
      <rgbColor rgb="FF1E3A5F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K25" activeCellId="0" sqref="K2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8" min="7" style="1" width="11"/>
    <col collapsed="false" customWidth="true" hidden="false" outlineLevel="0" max="10" min="9" style="1" width="13"/>
    <col collapsed="false" customWidth="true" hidden="false" outlineLevel="0" max="11" min="11" style="1" width="12"/>
    <col collapsed="false" customWidth="true" hidden="false" outlineLevel="0" max="13" min="12" style="1" width="16"/>
    <col collapsed="false" customWidth="true" hidden="false" outlineLevel="0" max="14" min="14" style="1" width="18"/>
    <col collapsed="false" customWidth="true" hidden="false" outlineLevel="0" max="15" min="15" style="1" width="59.71"/>
    <col collapsed="false" customWidth="true" hidden="false" outlineLevel="0" max="16" min="16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3.5" hidden="false" customHeight="true" outlineLevel="0" collapsed="false">
      <c r="A2" s="3" t="n">
        <v>46127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36" hidden="false" customHeight="true" outlineLevel="0" collapsed="false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</row>
    <row r="5" customFormat="false" ht="16.5" hidden="false" customHeight="true" outlineLevel="0" collapsed="false">
      <c r="A5" s="6" t="s">
        <v>17</v>
      </c>
      <c r="B5" s="7" t="s">
        <v>18</v>
      </c>
      <c r="C5" s="7" t="s">
        <v>19</v>
      </c>
      <c r="D5" s="7" t="s">
        <v>20</v>
      </c>
      <c r="E5" s="8" t="n">
        <v>0</v>
      </c>
      <c r="F5" s="9" t="n">
        <v>507</v>
      </c>
      <c r="G5" s="10" t="n">
        <f aca="false">IF(F$25=0,0,F5/F$25)</f>
        <v>0.0446154753220102</v>
      </c>
      <c r="H5" s="10" t="n">
        <v>0.05</v>
      </c>
      <c r="I5" s="9" t="n">
        <f aca="false">H5*F$25</f>
        <v>568.1885</v>
      </c>
      <c r="J5" s="9" t="n">
        <f aca="false">I5-F5</f>
        <v>61.1885000000001</v>
      </c>
      <c r="K5" s="10" t="n">
        <f aca="false">G5-H5</f>
        <v>-0.00538452467798979</v>
      </c>
      <c r="L5" s="7" t="str">
        <f aca="false">IF(C5="Aktie",IF(K5&gt;'Parameter &amp; Regeln'!B$9,"📉 Reduzieren",IF(K5&lt;-'Parameter &amp; Regeln'!B$9,"📈 Aufstocken","⚖️ Halten")),IF(C5="Gold",IF(K5&gt;'Parameter &amp; Regeln'!B$8,"📉 Reduzieren",IF(K5&lt;-'Parameter &amp; Regeln'!B$8,"📈 Aufstocken","⚖️ Halten")),IF(K5&gt;'Parameter &amp; Regeln'!B$8,"📉 Reduzieren",IF(K5&lt;-'Parameter &amp; Regeln'!B$8,"📈 Aufstocken","⚖️ Halten"))))</f>
        <v>⚖️ Halten</v>
      </c>
      <c r="M5" s="11" t="str">
        <f aca="false">IF(C5="Aktie",IF(G5&gt;'Parameter &amp; Regeln'!B$10,"🚨 ÜBER CAP","✅ OK"),"")</f>
        <v/>
      </c>
      <c r="N5" s="7"/>
      <c r="O5" s="7"/>
      <c r="P5" s="9" t="n">
        <f aca="false">IF(OR(C5="ETF",C5="Gold"),(H5/SUMIF($C$5:$C$20,"&lt;&gt;Aktie",$H$5:$H$20))*('Parameter &amp; Regeln'!$B$4*('Parameter &amp; Regeln'!$B$5+'Parameter &amp; Regeln'!$B$7)),"")</f>
        <v>47.5</v>
      </c>
    </row>
    <row r="6" customFormat="false" ht="16.5" hidden="false" customHeight="true" outlineLevel="0" collapsed="false">
      <c r="A6" s="12" t="s">
        <v>21</v>
      </c>
      <c r="B6" s="13" t="s">
        <v>22</v>
      </c>
      <c r="C6" s="13" t="s">
        <v>23</v>
      </c>
      <c r="D6" s="13" t="s">
        <v>24</v>
      </c>
      <c r="E6" s="14" t="n">
        <v>0.7</v>
      </c>
      <c r="F6" s="15" t="n">
        <v>2792.3</v>
      </c>
      <c r="G6" s="16" t="n">
        <f aca="false">IF(F$25=0,0,F6/F$25)</f>
        <v>0.245719510338558</v>
      </c>
      <c r="H6" s="16" t="n">
        <v>0.3</v>
      </c>
      <c r="I6" s="15" t="n">
        <f aca="false">H6*F$25</f>
        <v>3409.131</v>
      </c>
      <c r="J6" s="15" t="n">
        <f aca="false">I6-F6</f>
        <v>616.831</v>
      </c>
      <c r="K6" s="16" t="n">
        <f aca="false">G6-H6</f>
        <v>-0.0542804896614416</v>
      </c>
      <c r="L6" s="13" t="str">
        <f aca="false">IF(C6="Aktie",IF(K6&gt;'Parameter &amp; Regeln'!B$9,"📉 Reduzieren",IF(K6&lt;-'Parameter &amp; Regeln'!B$9,"📈 Aufstocken","⚖️ Halten")),IF(C6="Gold",IF(K6&gt;'Parameter &amp; Regeln'!B$8,"📉 Reduzieren",IF(K6&lt;-'Parameter &amp; Regeln'!B$8,"📈 Aufstocken","⚖️ Halten")),IF(K6&gt;'Parameter &amp; Regeln'!B$8,"📉 Reduzieren",IF(K6&lt;-'Parameter &amp; Regeln'!B$8,"📈 Aufstocken","⚖️ Halten"))))</f>
        <v>📈 Aufstocken</v>
      </c>
      <c r="M6" s="17" t="str">
        <f aca="false">IF(C6="Aktie",IF(G6&gt;'Parameter &amp; Regeln'!B$10,"🚨 ÜBER CAP","✅ OK"),"")</f>
        <v/>
      </c>
      <c r="N6" s="13"/>
      <c r="O6" s="13"/>
      <c r="P6" s="15" t="n">
        <f aca="false">IF(OR(C6="ETF",C6="Gold"),(H6/SUMIF($C$5:$C$20,"&lt;&gt;Aktie",$H$5:$H$20))*('Parameter &amp; Regeln'!$B$4*('Parameter &amp; Regeln'!$B$5+'Parameter &amp; Regeln'!$B$7)),"")</f>
        <v>285</v>
      </c>
    </row>
    <row r="7" customFormat="false" ht="16.5" hidden="false" customHeight="true" outlineLevel="0" collapsed="false">
      <c r="A7" s="12" t="s">
        <v>25</v>
      </c>
      <c r="B7" s="13" t="s">
        <v>26</v>
      </c>
      <c r="C7" s="13" t="s">
        <v>23</v>
      </c>
      <c r="D7" s="13" t="s">
        <v>24</v>
      </c>
      <c r="E7" s="14" t="n">
        <v>0</v>
      </c>
      <c r="F7" s="15" t="n">
        <v>913.01</v>
      </c>
      <c r="G7" s="16" t="n">
        <f aca="false">IF(F$25=0,0,F7/F$25)</f>
        <v>0.0803439351553226</v>
      </c>
      <c r="H7" s="16" t="n">
        <v>0.1</v>
      </c>
      <c r="I7" s="15" t="n">
        <f aca="false">H7*F$25</f>
        <v>1136.377</v>
      </c>
      <c r="J7" s="15" t="n">
        <f aca="false">I7-F7</f>
        <v>223.367</v>
      </c>
      <c r="K7" s="16" t="n">
        <f aca="false">G7-H7</f>
        <v>-0.0196560648446774</v>
      </c>
      <c r="L7" s="13" t="str">
        <f aca="false">IF(C7="Aktie",IF(K7&gt;'Parameter &amp; Regeln'!B$9,"📉 Reduzieren",IF(K7&lt;-'Parameter &amp; Regeln'!B$9,"📈 Aufstocken","⚖️ Halten")),IF(C7="Gold",IF(K7&gt;'Parameter &amp; Regeln'!B$8,"📉 Reduzieren",IF(K7&lt;-'Parameter &amp; Regeln'!B$8,"📈 Aufstocken","⚖️ Halten")),IF(K7&gt;'Parameter &amp; Regeln'!B$8,"📉 Reduzieren",IF(K7&lt;-'Parameter &amp; Regeln'!B$8,"📈 Aufstocken","⚖️ Halten"))))</f>
        <v>📈 Aufstocken</v>
      </c>
      <c r="M7" s="17" t="str">
        <f aca="false">IF(C7="Aktie",IF(G7&gt;'Parameter &amp; Regeln'!B$10,"🚨 ÜBER CAP","✅ OK"),"")</f>
        <v/>
      </c>
      <c r="N7" s="13"/>
      <c r="O7" s="13"/>
      <c r="P7" s="15" t="n">
        <f aca="false">IF(OR(C7="ETF",C7="Gold"),(H7/SUMIF($C$5:$C$20,"&lt;&gt;Aktie",$H$5:$H$20))*('Parameter &amp; Regeln'!$B$4*('Parameter &amp; Regeln'!$B$5+'Parameter &amp; Regeln'!$B$7)),"")</f>
        <v>95</v>
      </c>
    </row>
    <row r="8" customFormat="false" ht="16.5" hidden="false" customHeight="true" outlineLevel="0" collapsed="false">
      <c r="A8" s="12" t="s">
        <v>27</v>
      </c>
      <c r="B8" s="13" t="s">
        <v>28</v>
      </c>
      <c r="C8" s="13" t="s">
        <v>23</v>
      </c>
      <c r="D8" s="13" t="s">
        <v>24</v>
      </c>
      <c r="E8" s="14" t="n">
        <v>0</v>
      </c>
      <c r="F8" s="15" t="n">
        <v>917.46</v>
      </c>
      <c r="G8" s="16" t="n">
        <f aca="false">IF(F$25=0,0,F8/F$25)</f>
        <v>0.0807355305501607</v>
      </c>
      <c r="H8" s="16" t="n">
        <v>0.15</v>
      </c>
      <c r="I8" s="15" t="n">
        <f aca="false">H8*F$25</f>
        <v>1704.5655</v>
      </c>
      <c r="J8" s="15" t="n">
        <f aca="false">I8-F8</f>
        <v>787.1055</v>
      </c>
      <c r="K8" s="16" t="n">
        <f aca="false">G8-H8</f>
        <v>-0.0692644694498393</v>
      </c>
      <c r="L8" s="13" t="str">
        <f aca="false">IF(C8="Aktie",IF(K8&gt;'Parameter &amp; Regeln'!B$9,"📉 Reduzieren",IF(K8&lt;-'Parameter &amp; Regeln'!B$9,"📈 Aufstocken","⚖️ Halten")),IF(C8="Gold",IF(K8&gt;'Parameter &amp; Regeln'!B$8,"📉 Reduzieren",IF(K8&lt;-'Parameter &amp; Regeln'!B$8,"📈 Aufstocken","⚖️ Halten")),IF(K8&gt;'Parameter &amp; Regeln'!B$8,"📉 Reduzieren",IF(K8&lt;-'Parameter &amp; Regeln'!B$8,"📈 Aufstocken","⚖️ Halten"))))</f>
        <v>📈 Aufstocken</v>
      </c>
      <c r="M8" s="17" t="str">
        <f aca="false">IF(C8="Aktie",IF(G8&gt;'Parameter &amp; Regeln'!B$10,"🚨 ÜBER CAP","✅ OK"),"")</f>
        <v/>
      </c>
      <c r="N8" s="13"/>
      <c r="O8" s="13"/>
      <c r="P8" s="15" t="n">
        <f aca="false">IF(OR(C8="ETF",C8="Gold"),(H8/SUMIF($C$5:$C$20,"&lt;&gt;Aktie",$H$5:$H$20))*('Parameter &amp; Regeln'!$B$4*('Parameter &amp; Regeln'!$B$5+'Parameter &amp; Regeln'!$B$7)),"")</f>
        <v>142.5</v>
      </c>
    </row>
    <row r="9" customFormat="false" ht="16.5" hidden="false" customHeight="true" outlineLevel="0" collapsed="false">
      <c r="A9" s="18" t="s">
        <v>29</v>
      </c>
      <c r="B9" s="19" t="s">
        <v>30</v>
      </c>
      <c r="C9" s="19" t="s">
        <v>23</v>
      </c>
      <c r="D9" s="19" t="s">
        <v>20</v>
      </c>
      <c r="E9" s="20" t="n">
        <v>0.67</v>
      </c>
      <c r="F9" s="21" t="n">
        <v>1001</v>
      </c>
      <c r="G9" s="22" t="n">
        <f aca="false">IF(F$25=0,0,F9/F$25)</f>
        <v>0.0880869640973022</v>
      </c>
      <c r="H9" s="22" t="n">
        <v>0.1</v>
      </c>
      <c r="I9" s="21" t="n">
        <f aca="false">H9*F$25</f>
        <v>1136.377</v>
      </c>
      <c r="J9" s="21" t="n">
        <f aca="false">I9-F9</f>
        <v>135.377</v>
      </c>
      <c r="K9" s="22" t="n">
        <f aca="false">G9-H9</f>
        <v>-0.0119130359026978</v>
      </c>
      <c r="L9" s="19" t="str">
        <f aca="false">IF(C9="Aktie",IF(K9&gt;'Parameter &amp; Regeln'!B$9,"📉 Reduzieren",IF(K9&lt;-'Parameter &amp; Regeln'!B$9,"📈 Aufstocken","⚖️ Halten")),IF(C9="Gold",IF(K9&gt;'Parameter &amp; Regeln'!B$8,"📉 Reduzieren",IF(K9&lt;-'Parameter &amp; Regeln'!B$8,"📈 Aufstocken","⚖️ Halten")),IF(K9&gt;'Parameter &amp; Regeln'!B$8,"📉 Reduzieren",IF(K9&lt;-'Parameter &amp; Regeln'!B$8,"📈 Aufstocken","⚖️ Halten"))))</f>
        <v>⚖️ Halten</v>
      </c>
      <c r="M9" s="23" t="str">
        <f aca="false">IF(C9="Aktie",IF(G9&gt;'Parameter &amp; Regeln'!B$10,"🚨 ÜBER CAP","✅ OK"),"")</f>
        <v/>
      </c>
      <c r="N9" s="19"/>
      <c r="O9" s="19"/>
      <c r="P9" s="21" t="n">
        <f aca="false">IF(OR(C9="ETF",C9="Gold"),(H9/SUMIF($C$5:$C$20,"&lt;&gt;Aktie",$H$5:$H$20))*('Parameter &amp; Regeln'!$B$4*('Parameter &amp; Regeln'!$B$5+'Parameter &amp; Regeln'!$B$7)),"")</f>
        <v>95</v>
      </c>
    </row>
    <row r="10" customFormat="false" ht="16.5" hidden="false" customHeight="true" outlineLevel="0" collapsed="false">
      <c r="A10" s="24" t="s">
        <v>31</v>
      </c>
      <c r="B10" s="25" t="s">
        <v>32</v>
      </c>
      <c r="C10" s="25" t="s">
        <v>33</v>
      </c>
      <c r="D10" s="25" t="s">
        <v>20</v>
      </c>
      <c r="E10" s="26" t="n">
        <v>0</v>
      </c>
      <c r="F10" s="27" t="n">
        <v>364</v>
      </c>
      <c r="G10" s="28" t="n">
        <f aca="false">IF(F$25=0,0,F10/F$25)</f>
        <v>0.0320316233081099</v>
      </c>
      <c r="H10" s="28" t="n">
        <v>0.0273</v>
      </c>
      <c r="I10" s="27" t="n">
        <f aca="false">H10*F$25</f>
        <v>310.230921</v>
      </c>
      <c r="J10" s="27" t="n">
        <f aca="false">I10-F10</f>
        <v>-53.769079</v>
      </c>
      <c r="K10" s="28" t="n">
        <f aca="false">G10-H10</f>
        <v>0.00473162330810989</v>
      </c>
      <c r="L10" s="25" t="str">
        <f aca="false">IF(C10="Aktie",IF(K10&gt;'Parameter &amp; Regeln'!B$9,"📉 Reduzieren",IF(K10&lt;-'Parameter &amp; Regeln'!B$9,"📈 Aufstocken","⚖️ Halten")),IF(C10="Gold",IF(K10&gt;'Parameter &amp; Regeln'!B$8,"📉 Reduzieren",IF(K10&lt;-'Parameter &amp; Regeln'!B$8,"📈 Aufstocken","⚖️ Halten")),IF(K10&gt;'Parameter &amp; Regeln'!B$8,"📉 Reduzieren",IF(K10&lt;-'Parameter &amp; Regeln'!B$8,"📈 Aufstocken","⚖️ Halten"))))</f>
        <v>⚖️ Halten</v>
      </c>
      <c r="M10" s="29" t="str">
        <f aca="false">IF(C10="Aktie",IF(G10&gt;'Parameter &amp; Regeln'!B$10,"🚨 ÜBER CAP","✅ OK"),"")</f>
        <v>✅ OK</v>
      </c>
      <c r="N10" s="25" t="s">
        <v>34</v>
      </c>
      <c r="O10" s="25" t="s">
        <v>35</v>
      </c>
      <c r="P10" s="27" t="n">
        <f aca="false">IF(C10&lt;&gt;"Aktie","",IF(LEFT(O10,1)="🔴",0,IF(LEFT(N10,8)="DEFCON 4",IF(O10="✅ Clean",('Parameter &amp; Regeln'!$B$4*'Parameter &amp; Regeln'!$B$6/(COUNTIFS($C$5:$C$20,"Aktie",$N$5:$N$20,"DEFCON 4*",$O$5:$O$20,"✅ Clean")+(COUNTIFS($C$5:$C$20,"Aktie",$N$5:$N$20,"DEFCON 3*")*'Parameter &amp; Regeln'!$B$27))),""),IF(LEFT(N10,8)="DEFCON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19</v>
      </c>
    </row>
    <row r="11" customFormat="false" ht="16.5" hidden="false" customHeight="true" outlineLevel="0" collapsed="false">
      <c r="A11" s="30" t="s">
        <v>36</v>
      </c>
      <c r="B11" s="31" t="s">
        <v>37</v>
      </c>
      <c r="C11" s="31" t="s">
        <v>33</v>
      </c>
      <c r="D11" s="31" t="s">
        <v>20</v>
      </c>
      <c r="E11" s="32" t="n">
        <v>1</v>
      </c>
      <c r="F11" s="33" t="n">
        <v>356</v>
      </c>
      <c r="G11" s="34" t="n">
        <f aca="false">IF(F$25=0,0,F11/F$25)</f>
        <v>0.0313276315870525</v>
      </c>
      <c r="H11" s="34" t="n">
        <v>0.0273</v>
      </c>
      <c r="I11" s="33" t="n">
        <f aca="false">H11*F$25</f>
        <v>310.230921</v>
      </c>
      <c r="J11" s="33" t="n">
        <f aca="false">I11-F11</f>
        <v>-45.769079</v>
      </c>
      <c r="K11" s="34" t="n">
        <f aca="false">G11-H11</f>
        <v>0.00402763158705253</v>
      </c>
      <c r="L11" s="31" t="str">
        <f aca="false">IF(C11="Aktie",IF(K11&gt;'Parameter &amp; Regeln'!B$9,"📉 Reduzieren",IF(K11&lt;-'Parameter &amp; Regeln'!B$9,"📈 Aufstocken","⚖️ Halten")),IF(C11="Gold",IF(K11&gt;'Parameter &amp; Regeln'!B$8,"📉 Reduzieren",IF(K11&lt;-'Parameter &amp; Regeln'!B$8,"📈 Aufstocken","⚖️ Halten")),IF(K11&gt;'Parameter &amp; Regeln'!B$8,"📉 Reduzieren",IF(K11&lt;-'Parameter &amp; Regeln'!B$8,"📈 Aufstocken","⚖️ Halten"))))</f>
        <v>⚖️ Halten</v>
      </c>
      <c r="M11" s="35" t="str">
        <f aca="false">IF(C11="Aktie",IF(G11&gt;'Parameter &amp; Regeln'!B$10,"🚨 ÜBER CAP","✅ OK"),"")</f>
        <v>✅ OK</v>
      </c>
      <c r="N11" s="31" t="s">
        <v>38</v>
      </c>
      <c r="O11" s="31" t="s">
        <v>39</v>
      </c>
      <c r="P11" s="33" t="str">
        <f aca="false">IF(C11&lt;&gt;"Aktie","",IF(LEFT(O11,1)="🔴",0,IF(LEFT(N11,8)="DEFCON 4",IF(O11="✅ Clean",('Parameter &amp; Regeln'!$B$4*'Parameter &amp; Regeln'!$B$6/(COUNTIFS($C$5:$C$20,"Aktie",$N$5:$N$20,"DEFCON 4*",$O$5:$O$20,"✅ Clean")+(COUNTIFS($C$5:$C$20,"Aktie",$N$5:$N$20,"DEFCON 3*")*'Parameter &amp; Regeln'!$B$27))),""),IF(LEFT(N11,8)="DEFCON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/>
      </c>
    </row>
    <row r="12" customFormat="false" ht="16.5" hidden="false" customHeight="true" outlineLevel="0" collapsed="false">
      <c r="A12" s="24" t="s">
        <v>40</v>
      </c>
      <c r="B12" s="25" t="s">
        <v>41</v>
      </c>
      <c r="C12" s="25" t="s">
        <v>33</v>
      </c>
      <c r="D12" s="25" t="s">
        <v>20</v>
      </c>
      <c r="E12" s="26" t="n">
        <v>1</v>
      </c>
      <c r="F12" s="27" t="n">
        <v>301</v>
      </c>
      <c r="G12" s="28" t="n">
        <f aca="false">IF(F$25=0,0,F12/F$25)</f>
        <v>0.0264876885047832</v>
      </c>
      <c r="H12" s="28" t="n">
        <v>0.0273</v>
      </c>
      <c r="I12" s="27" t="n">
        <f aca="false">H12*F$25</f>
        <v>310.230921</v>
      </c>
      <c r="J12" s="27" t="n">
        <f aca="false">I12-F12</f>
        <v>9.23092100000002</v>
      </c>
      <c r="K12" s="28" t="n">
        <f aca="false">G12-H12</f>
        <v>-0.000812311495216819</v>
      </c>
      <c r="L12" s="25" t="str">
        <f aca="false">IF(C12="Aktie",IF(K12&gt;'Parameter &amp; Regeln'!B$9,"📉 Reduzieren",IF(K12&lt;-'Parameter &amp; Regeln'!B$9,"📈 Aufstocken","⚖️ Halten")),IF(C12="Gold",IF(K12&gt;'Parameter &amp; Regeln'!B$8,"📉 Reduzieren",IF(K12&lt;-'Parameter &amp; Regeln'!B$8,"📈 Aufstocken","⚖️ Halten")),IF(K12&gt;'Parameter &amp; Regeln'!B$8,"📉 Reduzieren",IF(K12&lt;-'Parameter &amp; Regeln'!B$8,"📈 Aufstocken","⚖️ Halten"))))</f>
        <v>⚖️ Halten</v>
      </c>
      <c r="M12" s="29" t="str">
        <f aca="false">IF(C12="Aktie",IF(G12&gt;'Parameter &amp; Regeln'!B$10,"🚨 ÜBER CAP","✅ OK"),"")</f>
        <v>✅ OK</v>
      </c>
      <c r="N12" s="25" t="s">
        <v>42</v>
      </c>
      <c r="O12" s="25" t="s">
        <v>43</v>
      </c>
      <c r="P12" s="27" t="n">
        <f aca="false">IF(C12&lt;&gt;"Aktie","",IF(LEFT(O12,1)="🔴",0,IF(LEFT(N12,8)="DEFCON 4",IF(O12="✅ Clean",('Parameter &amp; Regeln'!$B$4*'Parameter &amp; Regeln'!$B$6/(COUNTIFS($C$5:$C$20,"Aktie",$N$5:$N$20,"DEFCON 4*",$O$5:$O$20,"✅ Clean")+(COUNTIFS($C$5:$C$20,"Aktie",$N$5:$N$20,"DEFCON 3*")*'Parameter &amp; Regeln'!$B$27))),""),IF(LEFT(N12,8)="DEFCON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0</v>
      </c>
    </row>
    <row r="13" customFormat="false" ht="16.5" hidden="false" customHeight="true" outlineLevel="0" collapsed="false">
      <c r="A13" s="30" t="s">
        <v>44</v>
      </c>
      <c r="B13" s="31" t="s">
        <v>45</v>
      </c>
      <c r="C13" s="31" t="s">
        <v>33</v>
      </c>
      <c r="D13" s="31" t="s">
        <v>20</v>
      </c>
      <c r="E13" s="32" t="n">
        <v>1</v>
      </c>
      <c r="F13" s="33" t="n">
        <v>350</v>
      </c>
      <c r="G13" s="34" t="n">
        <f aca="false">IF(F$25=0,0,F13/F$25)</f>
        <v>0.0307996377962595</v>
      </c>
      <c r="H13" s="34" t="n">
        <v>0.0273</v>
      </c>
      <c r="I13" s="33" t="n">
        <f aca="false">H13*F$25</f>
        <v>310.230921</v>
      </c>
      <c r="J13" s="33" t="n">
        <f aca="false">I13-F13</f>
        <v>-39.769079</v>
      </c>
      <c r="K13" s="34" t="n">
        <f aca="false">G13-H13</f>
        <v>0.00349963779625951</v>
      </c>
      <c r="L13" s="31" t="str">
        <f aca="false">IF(C13="Aktie",IF(K13&gt;'Parameter &amp; Regeln'!B$9,"📉 Reduzieren",IF(K13&lt;-'Parameter &amp; Regeln'!B$9,"📈 Aufstocken","⚖️ Halten")),IF(C13="Gold",IF(K13&gt;'Parameter &amp; Regeln'!B$8,"📉 Reduzieren",IF(K13&lt;-'Parameter &amp; Regeln'!B$8,"📈 Aufstocken","⚖️ Halten")),IF(K13&gt;'Parameter &amp; Regeln'!B$8,"📉 Reduzieren",IF(K13&lt;-'Parameter &amp; Regeln'!B$8,"📈 Aufstocken","⚖️ Halten"))))</f>
        <v>⚖️ Halten</v>
      </c>
      <c r="M13" s="35" t="str">
        <f aca="false">IF(C13="Aktie",IF(G13&gt;'Parameter &amp; Regeln'!B$10,"🚨 ÜBER CAP","✅ OK"),"")</f>
        <v>✅ OK</v>
      </c>
      <c r="N13" s="31" t="s">
        <v>46</v>
      </c>
      <c r="O13" s="31" t="s">
        <v>47</v>
      </c>
      <c r="P13" s="33" t="n">
        <f aca="false">IF(C13&lt;&gt;"Aktie","",IF(LEFT(O13,1)="🔴",0,IF(LEFT(N13,8)="DEFCON 4",IF(O13="✅ Clean",('Parameter &amp; Regeln'!$B$4*'Parameter &amp; Regeln'!$B$6/(COUNTIFS($C$5:$C$20,"Aktie",$N$5:$N$20,"DEFCON 4*",$O$5:$O$20,"✅ Clean")+(COUNTIFS($C$5:$C$20,"Aktie",$N$5:$N$20,"DEFCON 3*")*'Parameter &amp; Regeln'!$B$27))),""),IF(LEFT(N13,8)="DEFCON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38</v>
      </c>
    </row>
    <row r="14" customFormat="false" ht="16.5" hidden="false" customHeight="true" outlineLevel="0" collapsed="false">
      <c r="A14" s="24" t="s">
        <v>48</v>
      </c>
      <c r="B14" s="25" t="s">
        <v>49</v>
      </c>
      <c r="C14" s="25" t="s">
        <v>33</v>
      </c>
      <c r="D14" s="25" t="s">
        <v>20</v>
      </c>
      <c r="E14" s="26" t="n">
        <v>0</v>
      </c>
      <c r="F14" s="27" t="n">
        <v>377</v>
      </c>
      <c r="G14" s="28" t="n">
        <f aca="false">IF(F$25=0,0,F14/F$25)</f>
        <v>0.0331756098548281</v>
      </c>
      <c r="H14" s="28" t="n">
        <v>0.0273</v>
      </c>
      <c r="I14" s="27" t="n">
        <f aca="false">H14*F$25</f>
        <v>310.230921</v>
      </c>
      <c r="J14" s="27" t="n">
        <f aca="false">I14-F14</f>
        <v>-66.769079</v>
      </c>
      <c r="K14" s="28" t="n">
        <f aca="false">G14-H14</f>
        <v>0.0058756098548281</v>
      </c>
      <c r="L14" s="25" t="str">
        <f aca="false">IF(C14="Aktie",IF(K14&gt;'Parameter &amp; Regeln'!B$9,"📉 Reduzieren",IF(K14&lt;-'Parameter &amp; Regeln'!B$9,"📈 Aufstocken","⚖️ Halten")),IF(C14="Gold",IF(K14&gt;'Parameter &amp; Regeln'!B$8,"📉 Reduzieren",IF(K14&lt;-'Parameter &amp; Regeln'!B$8,"📈 Aufstocken","⚖️ Halten")),IF(K14&gt;'Parameter &amp; Regeln'!B$8,"📉 Reduzieren",IF(K14&lt;-'Parameter &amp; Regeln'!B$8,"📈 Aufstocken","⚖️ Halten"))))</f>
        <v>⚖️ Halten</v>
      </c>
      <c r="M14" s="29" t="str">
        <f aca="false">IF(C14="Aktie",IF(G14&gt;'Parameter &amp; Regeln'!B$10,"🚨 ÜBER CAP","✅ OK"),"")</f>
        <v>✅ OK</v>
      </c>
      <c r="N14" s="25" t="s">
        <v>50</v>
      </c>
      <c r="O14" s="25" t="s">
        <v>47</v>
      </c>
      <c r="P14" s="27" t="n">
        <f aca="false">IF(C14&lt;&gt;"Aktie","",IF(LEFT(O14,1)="🔴",0,IF(LEFT(N14,8)="DEFCON 4",IF(O14="✅ Clean",('Parameter &amp; Regeln'!$B$4*'Parameter &amp; Regeln'!$B$6/(COUNTIFS($C$5:$C$20,"Aktie",$N$5:$N$20,"DEFCON 4*",$O$5:$O$20,"✅ Clean")+(COUNTIFS($C$5:$C$20,"Aktie",$N$5:$N$20,"DEFCON 3*")*'Parameter &amp; Regeln'!$B$27))),""),IF(LEFT(N14,8)="DEFCON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38</v>
      </c>
    </row>
    <row r="15" customFormat="false" ht="16.5" hidden="false" customHeight="true" outlineLevel="0" collapsed="false">
      <c r="A15" s="30" t="s">
        <v>51</v>
      </c>
      <c r="B15" s="31" t="s">
        <v>52</v>
      </c>
      <c r="C15" s="31" t="s">
        <v>33</v>
      </c>
      <c r="D15" s="31" t="s">
        <v>20</v>
      </c>
      <c r="E15" s="32" t="n">
        <v>1</v>
      </c>
      <c r="F15" s="33" t="n">
        <v>323</v>
      </c>
      <c r="G15" s="34" t="n">
        <f aca="false">IF(F$25=0,0,F15/F$25)</f>
        <v>0.0284236657376909</v>
      </c>
      <c r="H15" s="34" t="n">
        <v>0.0273</v>
      </c>
      <c r="I15" s="33" t="n">
        <f aca="false">H15*F$25</f>
        <v>310.230921</v>
      </c>
      <c r="J15" s="33" t="n">
        <f aca="false">I15-F15</f>
        <v>-12.769079</v>
      </c>
      <c r="K15" s="34" t="n">
        <f aca="false">G15-H15</f>
        <v>0.00112366573769092</v>
      </c>
      <c r="L15" s="31" t="str">
        <f aca="false">IF(C15="Aktie",IF(K15&gt;'Parameter &amp; Regeln'!B$9,"📉 Reduzieren",IF(K15&lt;-'Parameter &amp; Regeln'!B$9,"📈 Aufstocken","⚖️ Halten")),IF(C15="Gold",IF(K15&gt;'Parameter &amp; Regeln'!B$8,"📉 Reduzieren",IF(K15&lt;-'Parameter &amp; Regeln'!B$8,"📈 Aufstocken","⚖️ Halten")),IF(K15&gt;'Parameter &amp; Regeln'!B$8,"📉 Reduzieren",IF(K15&lt;-'Parameter &amp; Regeln'!B$8,"📈 Aufstocken","⚖️ Halten"))))</f>
        <v>⚖️ Halten</v>
      </c>
      <c r="M15" s="35" t="str">
        <f aca="false">IF(C15="Aktie",IF(G15&gt;'Parameter &amp; Regeln'!B$10,"🚨 ÜBER CAP","✅ OK"),"")</f>
        <v>✅ OK</v>
      </c>
      <c r="N15" s="31" t="s">
        <v>53</v>
      </c>
      <c r="O15" s="31" t="s">
        <v>47</v>
      </c>
      <c r="P15" s="33" t="n">
        <f aca="false">IF(C15&lt;&gt;"Aktie","",IF(LEFT(O15,1)="🔴",0,IF(LEFT(N15,8)="DEFCON 4",IF(O15="✅ Clean",('Parameter &amp; Regeln'!$B$4*'Parameter &amp; Regeln'!$B$6/(COUNTIFS($C$5:$C$20,"Aktie",$N$5:$N$20,"DEFCON 4*",$O$5:$O$20,"✅ Clean")+(COUNTIFS($C$5:$C$20,"Aktie",$N$5:$N$20,"DEFCON 3*")*'Parameter &amp; Regeln'!$B$27))),""),IF(LEFT(N15,8)="DEFCON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38</v>
      </c>
    </row>
    <row r="16" customFormat="false" ht="16.5" hidden="false" customHeight="true" outlineLevel="0" collapsed="false">
      <c r="A16" s="24" t="s">
        <v>54</v>
      </c>
      <c r="B16" s="25" t="s">
        <v>55</v>
      </c>
      <c r="C16" s="25" t="s">
        <v>33</v>
      </c>
      <c r="D16" s="25" t="s">
        <v>20</v>
      </c>
      <c r="E16" s="26" t="n">
        <v>0</v>
      </c>
      <c r="F16" s="27" t="n">
        <v>336</v>
      </c>
      <c r="G16" s="28" t="n">
        <f aca="false">IF(F$25=0,0,F16/F$25)</f>
        <v>0.0295676522844091</v>
      </c>
      <c r="H16" s="28" t="n">
        <v>0.0273</v>
      </c>
      <c r="I16" s="27" t="n">
        <f aca="false">H16*F$25</f>
        <v>310.230921</v>
      </c>
      <c r="J16" s="27" t="n">
        <f aca="false">I16-F16</f>
        <v>-25.769079</v>
      </c>
      <c r="K16" s="28" t="n">
        <f aca="false">G16-H16</f>
        <v>0.00226765228440913</v>
      </c>
      <c r="L16" s="25" t="str">
        <f aca="false">IF(C16="Aktie",IF(K16&gt;'Parameter &amp; Regeln'!B$9,"📉 Reduzieren",IF(K16&lt;-'Parameter &amp; Regeln'!B$9,"📈 Aufstocken","⚖️ Halten")),IF(C16="Gold",IF(K16&gt;'Parameter &amp; Regeln'!B$8,"📉 Reduzieren",IF(K16&lt;-'Parameter &amp; Regeln'!B$8,"📈 Aufstocken","⚖️ Halten")),IF(K16&gt;'Parameter &amp; Regeln'!B$8,"📉 Reduzieren",IF(K16&lt;-'Parameter &amp; Regeln'!B$8,"📈 Aufstocken","⚖️ Halten"))))</f>
        <v>⚖️ Halten</v>
      </c>
      <c r="M16" s="29" t="str">
        <f aca="false">IF(C16="Aktie",IF(G16&gt;'Parameter &amp; Regeln'!B$10,"🚨 ÜBER CAP","✅ OK"),"")</f>
        <v>✅ OK</v>
      </c>
      <c r="N16" s="25" t="s">
        <v>46</v>
      </c>
      <c r="O16" s="25" t="s">
        <v>47</v>
      </c>
      <c r="P16" s="27" t="n">
        <f aca="false">IF(C16&lt;&gt;"Aktie","",IF(LEFT(O16,1)="🔴",0,IF(LEFT(N16,8)="DEFCON 4",IF(O16="✅ Clean",('Parameter &amp; Regeln'!$B$4*'Parameter &amp; Regeln'!$B$6/(COUNTIFS($C$5:$C$20,"Aktie",$N$5:$N$20,"DEFCON 4*",$O$5:$O$20,"✅ Clean")+(COUNTIFS($C$5:$C$20,"Aktie",$N$5:$N$20,"DEFCON 3*")*'Parameter &amp; Regeln'!$B$27))),""),IF(LEFT(N16,8)="DEFCON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38</v>
      </c>
    </row>
    <row r="17" customFormat="false" ht="16.5" hidden="false" customHeight="true" outlineLevel="0" collapsed="false">
      <c r="A17" s="30" t="s">
        <v>56</v>
      </c>
      <c r="B17" s="31" t="s">
        <v>57</v>
      </c>
      <c r="C17" s="31" t="s">
        <v>33</v>
      </c>
      <c r="D17" s="31" t="s">
        <v>20</v>
      </c>
      <c r="E17" s="32" t="n">
        <v>1</v>
      </c>
      <c r="F17" s="33" t="n">
        <v>403</v>
      </c>
      <c r="G17" s="34" t="n">
        <f aca="false">IF(F$25=0,0,F17/F$25)</f>
        <v>0.0354635829482645</v>
      </c>
      <c r="H17" s="34" t="n">
        <v>0.0273</v>
      </c>
      <c r="I17" s="33" t="n">
        <f aca="false">H17*F$25</f>
        <v>310.230921</v>
      </c>
      <c r="J17" s="33" t="n">
        <f aca="false">I17-F17</f>
        <v>-92.769079</v>
      </c>
      <c r="K17" s="34" t="n">
        <f aca="false">G17-H17</f>
        <v>0.00816358294826453</v>
      </c>
      <c r="L17" s="31" t="str">
        <f aca="false">IF(C17="Aktie",IF(K17&gt;'Parameter &amp; Regeln'!B$9,"📉 Reduzieren",IF(K17&lt;-'Parameter &amp; Regeln'!B$9,"📈 Aufstocken","⚖️ Halten")),IF(C17="Gold",IF(K17&gt;'Parameter &amp; Regeln'!B$8,"📉 Reduzieren",IF(K17&lt;-'Parameter &amp; Regeln'!B$8,"📈 Aufstocken","⚖️ Halten")),IF(K17&gt;'Parameter &amp; Regeln'!B$8,"📉 Reduzieren",IF(K17&lt;-'Parameter &amp; Regeln'!B$8,"📈 Aufstocken","⚖️ Halten"))))</f>
        <v>⚖️ Halten</v>
      </c>
      <c r="M17" s="35" t="str">
        <f aca="false">IF(C17="Aktie",IF(G17&gt;'Parameter &amp; Regeln'!B$10,"🚨 ÜBER CAP","✅ OK"),"")</f>
        <v>✅ OK</v>
      </c>
      <c r="N17" s="31" t="s">
        <v>46</v>
      </c>
      <c r="O17" s="31" t="s">
        <v>47</v>
      </c>
      <c r="P17" s="33" t="n">
        <f aca="false">IF(C17&lt;&gt;"Aktie","",IF(LEFT(O17,1)="🔴",0,IF(LEFT(N17,8)="DEFCON 4",IF(O17="✅ Clean",('Parameter &amp; Regeln'!$B$4*'Parameter &amp; Regeln'!$B$6/(COUNTIFS($C$5:$C$20,"Aktie",$N$5:$N$20,"DEFCON 4*",$O$5:$O$20,"✅ Clean")+(COUNTIFS($C$5:$C$20,"Aktie",$N$5:$N$20,"DEFCON 3*")*'Parameter &amp; Regeln'!$B$27))),""),IF(LEFT(N17,8)="DEFCON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38</v>
      </c>
    </row>
    <row r="18" customFormat="false" ht="16.5" hidden="false" customHeight="true" outlineLevel="0" collapsed="false">
      <c r="A18" s="24" t="s">
        <v>58</v>
      </c>
      <c r="B18" s="25" t="s">
        <v>59</v>
      </c>
      <c r="C18" s="25" t="s">
        <v>33</v>
      </c>
      <c r="D18" s="25" t="s">
        <v>20</v>
      </c>
      <c r="E18" s="26" t="n">
        <v>1</v>
      </c>
      <c r="F18" s="27" t="n">
        <v>416</v>
      </c>
      <c r="G18" s="28" t="n">
        <f aca="false">IF(F$25=0,0,F18/F$25)</f>
        <v>0.0366075694949827</v>
      </c>
      <c r="H18" s="28" t="n">
        <v>0.0273</v>
      </c>
      <c r="I18" s="27" t="n">
        <f aca="false">H18*F$25</f>
        <v>310.230921</v>
      </c>
      <c r="J18" s="27" t="n">
        <f aca="false">I18-F18</f>
        <v>-105.769079</v>
      </c>
      <c r="K18" s="28" t="n">
        <f aca="false">G18-H18</f>
        <v>0.00930756949498273</v>
      </c>
      <c r="L18" s="25" t="str">
        <f aca="false">IF(C18="Aktie",IF(K18&gt;'Parameter &amp; Regeln'!B$9,"📉 Reduzieren",IF(K18&lt;-'Parameter &amp; Regeln'!B$9,"📈 Aufstocken","⚖️ Halten")),IF(C18="Gold",IF(K18&gt;'Parameter &amp; Regeln'!B$8,"📉 Reduzieren",IF(K18&lt;-'Parameter &amp; Regeln'!B$8,"📈 Aufstocken","⚖️ Halten")),IF(K18&gt;'Parameter &amp; Regeln'!B$8,"📉 Reduzieren",IF(K18&lt;-'Parameter &amp; Regeln'!B$8,"📈 Aufstocken","⚖️ Halten"))))</f>
        <v>⚖️ Halten</v>
      </c>
      <c r="M18" s="29" t="str">
        <f aca="false">IF(C18="Aktie",IF(G18&gt;'Parameter &amp; Regeln'!B$10,"🚨 ÜBER CAP","✅ OK"),"")</f>
        <v>✅ OK</v>
      </c>
      <c r="N18" s="25" t="s">
        <v>46</v>
      </c>
      <c r="O18" s="25" t="s">
        <v>47</v>
      </c>
      <c r="P18" s="27" t="n">
        <f aca="false">IF(C18&lt;&gt;"Aktie","",IF(LEFT(O18,1)="🔴",0,IF(LEFT(N18,8)="DEFCON 4",IF(O18="✅ Clean",('Parameter &amp; Regeln'!$B$4*'Parameter &amp; Regeln'!$B$6/(COUNTIFS($C$5:$C$20,"Aktie",$N$5:$N$20,"DEFCON 4*",$O$5:$O$20,"✅ Clean")+(COUNTIFS($C$5:$C$20,"Aktie",$N$5:$N$20,"DEFCON 3*")*'Parameter &amp; Regeln'!$B$27))),""),IF(LEFT(N18,8)="DEFCON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38</v>
      </c>
    </row>
    <row r="19" customFormat="false" ht="16.5" hidden="false" customHeight="true" outlineLevel="0" collapsed="false">
      <c r="A19" s="30" t="s">
        <v>60</v>
      </c>
      <c r="B19" s="31" t="s">
        <v>61</v>
      </c>
      <c r="C19" s="31" t="s">
        <v>33</v>
      </c>
      <c r="D19" s="31" t="s">
        <v>20</v>
      </c>
      <c r="E19" s="32" t="n">
        <v>1</v>
      </c>
      <c r="F19" s="33" t="n">
        <v>258</v>
      </c>
      <c r="G19" s="34" t="n">
        <f aca="false">IF(F$25=0,0,F19/F$25)</f>
        <v>0.0227037330040999</v>
      </c>
      <c r="H19" s="34" t="n">
        <v>0.0273</v>
      </c>
      <c r="I19" s="33" t="n">
        <f aca="false">H19*F$25</f>
        <v>310.230921</v>
      </c>
      <c r="J19" s="33" t="n">
        <f aca="false">I19-F19</f>
        <v>52.230921</v>
      </c>
      <c r="K19" s="34" t="n">
        <f aca="false">G19-H19</f>
        <v>-0.00459626699590013</v>
      </c>
      <c r="L19" s="31" t="str">
        <f aca="false">IF(C19="Aktie",IF(K19&gt;'Parameter &amp; Regeln'!B$9,"📉 Reduzieren",IF(K19&lt;-'Parameter &amp; Regeln'!B$9,"📈 Aufstocken","⚖️ Halten")),IF(C19="Gold",IF(K19&gt;'Parameter &amp; Regeln'!B$8,"📉 Reduzieren",IF(K19&lt;-'Parameter &amp; Regeln'!B$8,"📈 Aufstocken","⚖️ Halten")),IF(K19&gt;'Parameter &amp; Regeln'!B$8,"📉 Reduzieren",IF(K19&lt;-'Parameter &amp; Regeln'!B$8,"📈 Aufstocken","⚖️ Halten"))))</f>
        <v>⚖️ Halten</v>
      </c>
      <c r="M19" s="35" t="str">
        <f aca="false">IF(C19="Aktie",IF(G19&gt;'Parameter &amp; Regeln'!B$10,"🚨 ÜBER CAP","✅ OK"),"")</f>
        <v>✅ OK</v>
      </c>
      <c r="N19" s="31" t="s">
        <v>62</v>
      </c>
      <c r="O19" s="31" t="s">
        <v>63</v>
      </c>
      <c r="P19" s="33" t="n">
        <f aca="false">IF(C19&lt;&gt;"Aktie","",IF(LEFT(O19,1)="🔴",0,IF(LEFT(N19,8)="DEFCON 4",IF(O19="✅ Clean",('Parameter &amp; Regeln'!$B$4*'Parameter &amp; Regeln'!$B$6/(COUNTIFS($C$5:$C$20,"Aktie",$N$5:$N$20,"DEFCON 4*",$O$5:$O$20,"✅ Clean")+(COUNTIFS($C$5:$C$20,"Aktie",$N$5:$N$20,"DEFCON 3*")*'Parameter &amp; Regeln'!$B$27))),""),IF(LEFT(N19,8)="DEFCON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19</v>
      </c>
    </row>
    <row r="20" customFormat="false" ht="16.5" hidden="false" customHeight="true" outlineLevel="0" collapsed="false">
      <c r="A20" s="36" t="s">
        <v>64</v>
      </c>
      <c r="B20" s="37" t="s">
        <v>65</v>
      </c>
      <c r="C20" s="37" t="s">
        <v>33</v>
      </c>
      <c r="D20" s="37" t="s">
        <v>20</v>
      </c>
      <c r="E20" s="38" t="n">
        <v>1</v>
      </c>
      <c r="F20" s="39" t="n">
        <v>249</v>
      </c>
      <c r="G20" s="40" t="n">
        <f aca="false">IF(F$25=0,0,F20/F$25)</f>
        <v>0.0219117423179103</v>
      </c>
      <c r="H20" s="40" t="n">
        <v>0.0273</v>
      </c>
      <c r="I20" s="39" t="n">
        <f aca="false">H20*F$25</f>
        <v>310.230921</v>
      </c>
      <c r="J20" s="39" t="n">
        <f aca="false">I20-F20</f>
        <v>61.230921</v>
      </c>
      <c r="K20" s="40" t="n">
        <f aca="false">G20-H20</f>
        <v>-0.00538825768208966</v>
      </c>
      <c r="L20" s="37" t="str">
        <f aca="false">IF(C20="Aktie",IF(K20&gt;'Parameter &amp; Regeln'!B$9,"📉 Reduzieren",IF(K20&lt;-'Parameter &amp; Regeln'!B$9,"📈 Aufstocken","⚖️ Halten")),IF(C20="Gold",IF(K20&gt;'Parameter &amp; Regeln'!B$8,"📉 Reduzieren",IF(K20&lt;-'Parameter &amp; Regeln'!B$8,"📈 Aufstocken","⚖️ Halten")),IF(K20&gt;'Parameter &amp; Regeln'!B$8,"📉 Reduzieren",IF(K20&lt;-'Parameter &amp; Regeln'!B$8,"📈 Aufstocken","⚖️ Halten"))))</f>
        <v>⚖️ Halten</v>
      </c>
      <c r="M20" s="41" t="str">
        <f aca="false">IF(C20="Aktie",IF(G20&gt;'Parameter &amp; Regeln'!B$10,"🚨 ÜBER CAP","✅ OK"),"")</f>
        <v>✅ OK</v>
      </c>
      <c r="N20" s="37" t="s">
        <v>66</v>
      </c>
      <c r="O20" s="37" t="s">
        <v>67</v>
      </c>
      <c r="P20" s="39" t="n">
        <f aca="false">IF(C20&lt;&gt;"Aktie","",IF(LEFT(O20,1)="🔴",0,IF(LEFT(N20,8)="DEFCON 4",IF(O20="✅ Clean",('Parameter &amp; Regeln'!$B$4*'Parameter &amp; Regeln'!$B$6/(COUNTIFS($C$5:$C$20,"Aktie",$N$5:$N$20,"DEFCON 4*",$O$5:$O$20,"✅ Clean")+(COUNTIFS($C$5:$C$20,"Aktie",$N$5:$N$20,"DEFCON 3*")*'Parameter &amp; Regeln'!$B$27))),""),IF(LEFT(N20,8)="DEFCON 3",('Parameter &amp; Regeln'!$B$4*'Parameter &amp; Regeln'!$B$6*'Parameter &amp; Regeln'!$B$27/(COUNTIFS($C$5:$C$20,"Aktie",$N$5:$N$20,"DEFCON 4*",$O$5:$O$20,"✅ Clean")+(COUNTIFS($C$5:$C$20,"Aktie",$N$5:$N$20,"DEFCON 3*")*'Parameter &amp; Regeln'!$B$27))),""))))</f>
        <v>0</v>
      </c>
    </row>
    <row r="21" customFormat="false" ht="18.75" hidden="false" customHeight="true" outlineLevel="0" collapsed="false">
      <c r="A21" s="42" t="s">
        <v>68</v>
      </c>
      <c r="B21" s="43"/>
      <c r="C21" s="43"/>
      <c r="D21" s="43"/>
      <c r="E21" s="44"/>
      <c r="F21" s="45" t="n">
        <f aca="false">SUM(F5:F20)</f>
        <v>9863.77</v>
      </c>
      <c r="G21" s="46" t="n">
        <f aca="false">SUM(G5:G20)</f>
        <v>0.868001552301745</v>
      </c>
      <c r="H21" s="46" t="n">
        <f aca="false">SUM(H5:H20)</f>
        <v>1.0003</v>
      </c>
      <c r="I21" s="45" t="n">
        <f aca="false">SUM(I5:I20)</f>
        <v>11367.179131</v>
      </c>
      <c r="J21" s="45" t="n">
        <f aca="false">ROUND(SUM(J5:J20),2)</f>
        <v>1503.41</v>
      </c>
      <c r="K21" s="46" t="n">
        <f aca="false">SUMPRODUCT((C5:C20="Aktie")*ABS(K5:K20))/COUNTIF(C5:C20,"Aktie")</f>
        <v>0.00452670992589127</v>
      </c>
      <c r="L21" s="42" t="s">
        <v>69</v>
      </c>
      <c r="M21" s="47" t="n">
        <f aca="false">COUNTIF(M5:M20,"🚨 ÜBER CAP")</f>
        <v>0</v>
      </c>
      <c r="N21" s="48" t="n">
        <f aca="false">COUNTIF(N5:N20,"DEFCON 1*")+COUNTIF(N5:N20,"DEFCON 2*")+COUNTIF(N5:N20,"DEFCON 3*")</f>
        <v>4</v>
      </c>
      <c r="O21" s="48" t="n">
        <f aca="false">COUNTIF(O5:O20,"🚩*")+COUNTIF(O5:O20,"🔴*")</f>
        <v>2</v>
      </c>
      <c r="P21" s="45" t="n">
        <f aca="false">SUMIF(C5:C20,"Aktie",P5:P20)+SUMIF(C5:C20,"&lt;&gt;Aktie",P5:P20)</f>
        <v>931</v>
      </c>
    </row>
    <row r="22" customFormat="false" ht="16.5" hidden="false" customHeight="true" outlineLevel="0" collapsed="false">
      <c r="A22" s="49"/>
      <c r="B22" s="49"/>
      <c r="C22" s="49"/>
      <c r="D22" s="49"/>
      <c r="E22" s="50"/>
      <c r="F22" s="51"/>
      <c r="G22" s="52"/>
      <c r="H22" s="52"/>
      <c r="I22" s="51"/>
      <c r="J22" s="51"/>
      <c r="K22" s="53" t="n">
        <f aca="false">SUMPRODUCT((C5:C20&lt;&gt;"Aktie")*ABS(K5:K20))/COUNTIF(C5:C20,"&lt;&gt;Aktie")</f>
        <v>0.0320997169073292</v>
      </c>
      <c r="L22" s="54" t="s">
        <v>70</v>
      </c>
      <c r="M22" s="51" t="n">
        <f aca="false">COUNTIF(M5:M9,"🚨 ÜBER CAP")</f>
        <v>0</v>
      </c>
      <c r="N22" s="49" t="s">
        <v>71</v>
      </c>
      <c r="O22" s="49" t="s">
        <v>72</v>
      </c>
      <c r="P22" s="55" t="s">
        <v>73</v>
      </c>
    </row>
    <row r="23" customFormat="false" ht="16.5" hidden="false" customHeight="true" outlineLevel="0" collapsed="false">
      <c r="A23" s="56" t="s">
        <v>74</v>
      </c>
      <c r="B23" s="57"/>
      <c r="C23" s="57"/>
      <c r="D23" s="57"/>
      <c r="E23" s="58"/>
      <c r="F23" s="59" t="n">
        <v>947.77</v>
      </c>
      <c r="G23" s="60"/>
      <c r="H23" s="60"/>
      <c r="I23" s="61"/>
      <c r="J23" s="61"/>
      <c r="K23" s="60"/>
      <c r="L23" s="57"/>
      <c r="M23" s="61"/>
      <c r="N23" s="57"/>
      <c r="O23" s="57"/>
      <c r="P23" s="61"/>
    </row>
    <row r="24" customFormat="false" ht="16.5" hidden="false" customHeight="true" outlineLevel="0" collapsed="false">
      <c r="A24" s="62" t="s">
        <v>75</v>
      </c>
      <c r="B24" s="63"/>
      <c r="C24" s="63"/>
      <c r="D24" s="63"/>
      <c r="E24" s="64"/>
      <c r="F24" s="65" t="n">
        <v>1500</v>
      </c>
      <c r="G24" s="66"/>
      <c r="H24" s="66"/>
      <c r="I24" s="67"/>
      <c r="J24" s="67"/>
      <c r="K24" s="66"/>
      <c r="L24" s="63"/>
      <c r="M24" s="67"/>
      <c r="N24" s="63"/>
      <c r="O24" s="63"/>
      <c r="P24" s="67"/>
    </row>
    <row r="25" customFormat="false" ht="16.5" hidden="false" customHeight="true" outlineLevel="0" collapsed="false">
      <c r="A25" s="56" t="s">
        <v>76</v>
      </c>
      <c r="B25" s="57"/>
      <c r="C25" s="57"/>
      <c r="D25" s="57"/>
      <c r="E25" s="58"/>
      <c r="F25" s="68" t="n">
        <f aca="false">F21 + F24</f>
        <v>11363.77</v>
      </c>
      <c r="G25" s="60"/>
      <c r="H25" s="60"/>
      <c r="I25" s="61"/>
      <c r="J25" s="61"/>
      <c r="K25" s="60"/>
      <c r="L25" s="57"/>
      <c r="M25" s="61"/>
      <c r="N25" s="57"/>
      <c r="O25" s="57"/>
      <c r="P25" s="61"/>
    </row>
    <row r="26" customFormat="false" ht="16.5" hidden="false" customHeight="true" outlineLevel="0" collapsed="false">
      <c r="A26" s="62" t="s">
        <v>77</v>
      </c>
      <c r="B26" s="63"/>
      <c r="C26" s="63"/>
      <c r="D26" s="63"/>
      <c r="E26" s="64"/>
      <c r="F26" s="69" t="n">
        <f aca="false">F24 - MIN(F23, SUMIFS(J5:J20, D5:D20, "Scalable", J5:J20, "&gt;0"))</f>
        <v>1180.741737</v>
      </c>
      <c r="G26" s="66"/>
      <c r="H26" s="66"/>
      <c r="I26" s="67"/>
      <c r="J26" s="67"/>
      <c r="K26" s="66"/>
      <c r="L26" s="63"/>
      <c r="M26" s="63"/>
      <c r="N26" s="63"/>
      <c r="O26" s="63"/>
      <c r="P26" s="67"/>
    </row>
  </sheetData>
  <mergeCells count="2">
    <mergeCell ref="A1:P1"/>
    <mergeCell ref="A2:P2"/>
  </mergeCells>
  <conditionalFormatting sqref="L5:L20">
    <cfRule type="containsText" priority="2" operator="containsText" aboveAverage="0" equalAverage="0" bottom="0" percent="0" rank="0" text="Reduzieren" dxfId="0">
      <formula>NOT(ISERROR(SEARCH("Reduzieren",L5)))</formula>
    </cfRule>
    <cfRule type="containsText" priority="3" operator="containsText" aboveAverage="0" equalAverage="0" bottom="0" percent="0" rank="0" text="Aufstocken" dxfId="1">
      <formula>NOT(ISERROR(SEARCH("Aufstocken",L5)))</formula>
    </cfRule>
    <cfRule type="containsText" priority="4" operator="containsText" aboveAverage="0" equalAverage="0" bottom="0" percent="0" rank="0" text="Halten" dxfId="2">
      <formula>NOT(ISERROR(SEARCH("Halten",L5)))</formula>
    </cfRule>
  </conditionalFormatting>
  <conditionalFormatting sqref="M5:M20">
    <cfRule type="containsText" priority="5" operator="containsText" aboveAverage="0" equalAverage="0" bottom="0" percent="0" rank="0" text="ÜBER CAP" dxfId="3">
      <formula>NOT(ISERROR(SEARCH("ÜBER CAP",M5)))</formula>
    </cfRule>
    <cfRule type="containsText" priority="6" operator="containsText" aboveAverage="0" equalAverage="0" bottom="0" percent="0" rank="0" text="OK" dxfId="2">
      <formula>NOT(ISERROR(SEARCH("OK",M5)))</formula>
    </cfRule>
  </conditionalFormatting>
  <conditionalFormatting sqref="K5:K20">
    <cfRule type="cellIs" priority="7" operator="greaterThan" aboveAverage="0" equalAverage="0" bottom="0" percent="0" rank="0" text="" dxfId="4">
      <formula>0.15</formula>
    </cfRule>
    <cfRule type="cellIs" priority="8" operator="lessThan" aboveAverage="0" equalAverage="0" bottom="0" percent="0" rank="0" text="" dxfId="4">
      <formula>-0.15</formula>
    </cfRule>
  </conditionalFormatting>
  <conditionalFormatting sqref="N5:N20">
    <cfRule type="expression" priority="9" aboveAverage="0" equalAverage="0" bottom="0" percent="0" rank="0" text="" dxfId="5">
      <formula>LEFT(N5,8)="DEFCON 4"</formula>
    </cfRule>
    <cfRule type="expression" priority="10" aboveAverage="0" equalAverage="0" bottom="0" percent="0" rank="0" text="" dxfId="6">
      <formula>LEFT(N5,8)="DEFCON 3"</formula>
    </cfRule>
    <cfRule type="expression" priority="11" aboveAverage="0" equalAverage="0" bottom="0" percent="0" rank="0" text="" dxfId="7">
      <formula>LEFT(N5,8)="DEFCON 2"</formula>
    </cfRule>
    <cfRule type="expression" priority="12" aboveAverage="0" equalAverage="0" bottom="0" percent="0" rank="0" text="" dxfId="8">
      <formula>LEFT(N5,8)="DEFCON 1"</formula>
    </cfRule>
  </conditionalFormatting>
  <conditionalFormatting sqref="O5:O20">
    <cfRule type="expression" priority="13" aboveAverage="0" equalAverage="0" bottom="0" percent="0" rank="0" text="" dxfId="5">
      <formula>O5="✅ Clean"</formula>
    </cfRule>
    <cfRule type="expression" priority="14" aboveAverage="0" equalAverage="0" bottom="0" percent="0" rank="0" text="" dxfId="6">
      <formula>LEFT(O5,2)="🚩"</formula>
    </cfRule>
    <cfRule type="expression" priority="15" aboveAverage="0" equalAverage="0" bottom="0" percent="0" rank="0" text="" dxfId="8">
      <formula>LEFT(O5,2)="🔴"</formula>
    </cfRule>
  </conditionalFormatting>
  <conditionalFormatting sqref="P5:P20">
    <cfRule type="expression" priority="16" aboveAverage="0" equalAverage="0" bottom="0" percent="0" rank="0" text="" dxfId="9">
      <formula>P5=""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24" activeCellId="0" sqref="B2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2.42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70" t="s">
        <v>78</v>
      </c>
    </row>
    <row r="3" customFormat="false" ht="15" hidden="false" customHeight="true" outlineLevel="0" collapsed="false">
      <c r="A3" s="71" t="s">
        <v>1</v>
      </c>
      <c r="B3" s="71" t="s">
        <v>2</v>
      </c>
      <c r="C3" s="71" t="s">
        <v>79</v>
      </c>
      <c r="D3" s="71" t="s">
        <v>80</v>
      </c>
      <c r="E3" s="71" t="s">
        <v>81</v>
      </c>
    </row>
    <row r="4" customFormat="false" ht="15" hidden="false" customHeight="true" outlineLevel="0" collapsed="false">
      <c r="A4" s="72" t="str">
        <f aca="false">'Portfolio &amp; Rebalancing'!A5</f>
        <v>EUWAX Gold</v>
      </c>
      <c r="B4" s="73" t="str">
        <f aca="false">'Portfolio &amp; Rebalancing'!B5</f>
        <v>EWG2</v>
      </c>
      <c r="C4" s="74" t="n">
        <f aca="false">'Portfolio &amp; Rebalancing'!F5</f>
        <v>507</v>
      </c>
      <c r="D4" s="75" t="n">
        <f aca="false">'Portfolio &amp; Rebalancing'!E5</f>
        <v>0</v>
      </c>
      <c r="E4" s="74" t="n">
        <f aca="false">C4*D4</f>
        <v>0</v>
      </c>
    </row>
    <row r="5" customFormat="false" ht="15" hidden="false" customHeight="true" outlineLevel="0" collapsed="false">
      <c r="A5" s="72" t="str">
        <f aca="false">'Portfolio &amp; Rebalancing'!A6</f>
        <v>iShares MSCI World</v>
      </c>
      <c r="B5" s="73" t="str">
        <f aca="false">'Portfolio &amp; Rebalancing'!B6</f>
        <v>IWDA</v>
      </c>
      <c r="C5" s="74" t="n">
        <f aca="false">'Portfolio &amp; Rebalancing'!F6</f>
        <v>2792.3</v>
      </c>
      <c r="D5" s="75" t="n">
        <f aca="false">'Portfolio &amp; Rebalancing'!E6</f>
        <v>0.7</v>
      </c>
      <c r="E5" s="74" t="n">
        <f aca="false">C5*D5</f>
        <v>1954.61</v>
      </c>
    </row>
    <row r="6" customFormat="false" ht="15" hidden="false" customHeight="true" outlineLevel="0" collapsed="false">
      <c r="A6" s="72" t="str">
        <f aca="false">'Portfolio &amp; Rebalancing'!A7</f>
        <v>iShares MSCI EM IMI</v>
      </c>
      <c r="B6" s="73" t="str">
        <f aca="false">'Portfolio &amp; Rebalancing'!B7</f>
        <v>EIMI</v>
      </c>
      <c r="C6" s="74" t="n">
        <f aca="false">'Portfolio &amp; Rebalancing'!F7</f>
        <v>913.01</v>
      </c>
      <c r="D6" s="75" t="n">
        <f aca="false">'Portfolio &amp; Rebalancing'!E7</f>
        <v>0</v>
      </c>
      <c r="E6" s="74" t="n">
        <f aca="false">C6*D6</f>
        <v>0</v>
      </c>
    </row>
    <row r="7" customFormat="false" ht="15" hidden="false" customHeight="true" outlineLevel="0" collapsed="false">
      <c r="A7" s="72" t="str">
        <f aca="false">'Portfolio &amp; Rebalancing'!A8</f>
        <v>MSCI World ex-USA</v>
      </c>
      <c r="B7" s="73" t="str">
        <f aca="false">'Portfolio &amp; Rebalancing'!B8</f>
        <v>EXUSA</v>
      </c>
      <c r="C7" s="74" t="n">
        <f aca="false">'Portfolio &amp; Rebalancing'!F8</f>
        <v>917.46</v>
      </c>
      <c r="D7" s="75" t="n">
        <f aca="false">'Portfolio &amp; Rebalancing'!E8</f>
        <v>0</v>
      </c>
      <c r="E7" s="74" t="n">
        <f aca="false">C7*D7</f>
        <v>0</v>
      </c>
    </row>
    <row r="8" customFormat="false" ht="15" hidden="false" customHeight="true" outlineLevel="0" collapsed="false">
      <c r="A8" s="72" t="str">
        <f aca="false">'Portfolio &amp; Rebalancing'!A9</f>
        <v>Avantis Small Cap Value</v>
      </c>
      <c r="B8" s="73" t="str">
        <f aca="false">'Portfolio &amp; Rebalancing'!B9</f>
        <v>AVGC</v>
      </c>
      <c r="C8" s="74" t="n">
        <f aca="false">'Portfolio &amp; Rebalancing'!F9</f>
        <v>1001</v>
      </c>
      <c r="D8" s="75" t="n">
        <f aca="false">'Portfolio &amp; Rebalancing'!E9</f>
        <v>0.67</v>
      </c>
      <c r="E8" s="74" t="n">
        <f aca="false">C8*D8</f>
        <v>670.67</v>
      </c>
    </row>
    <row r="9" customFormat="false" ht="15" hidden="false" customHeight="true" outlineLevel="0" collapsed="false">
      <c r="A9" s="72" t="str">
        <f aca="false">'Portfolio &amp; Rebalancing'!A10</f>
        <v>ASML Holding</v>
      </c>
      <c r="B9" s="73" t="str">
        <f aca="false">'Portfolio &amp; Rebalancing'!B10</f>
        <v>ASML</v>
      </c>
      <c r="C9" s="74" t="n">
        <f aca="false">'Portfolio &amp; Rebalancing'!F10</f>
        <v>364</v>
      </c>
      <c r="D9" s="75" t="n">
        <f aca="false">'Portfolio &amp; Rebalancing'!E10</f>
        <v>0</v>
      </c>
      <c r="E9" s="74" t="n">
        <f aca="false">C9*D9</f>
        <v>0</v>
      </c>
    </row>
    <row r="10" customFormat="false" ht="15" hidden="false" customHeight="true" outlineLevel="0" collapsed="false">
      <c r="A10" s="72" t="str">
        <f aca="false">'Portfolio &amp; Rebalancing'!A11</f>
        <v>Broadcom</v>
      </c>
      <c r="B10" s="73" t="str">
        <f aca="false">'Portfolio &amp; Rebalancing'!B11</f>
        <v>AVGO</v>
      </c>
      <c r="C10" s="74" t="n">
        <f aca="false">'Portfolio &amp; Rebalancing'!F11</f>
        <v>356</v>
      </c>
      <c r="D10" s="75" t="n">
        <f aca="false">'Portfolio &amp; Rebalancing'!E11</f>
        <v>1</v>
      </c>
      <c r="E10" s="74" t="n">
        <f aca="false">C10*D10</f>
        <v>356</v>
      </c>
    </row>
    <row r="11" customFormat="false" ht="15" hidden="false" customHeight="true" outlineLevel="0" collapsed="false">
      <c r="A11" s="72" t="str">
        <f aca="false">'Portfolio &amp; Rebalancing'!A12</f>
        <v>Microsoft</v>
      </c>
      <c r="B11" s="73" t="str">
        <f aca="false">'Portfolio &amp; Rebalancing'!B12</f>
        <v>MSFT</v>
      </c>
      <c r="C11" s="74" t="n">
        <f aca="false">'Portfolio &amp; Rebalancing'!F12</f>
        <v>301</v>
      </c>
      <c r="D11" s="75" t="n">
        <f aca="false">'Portfolio &amp; Rebalancing'!E12</f>
        <v>1</v>
      </c>
      <c r="E11" s="74" t="n">
        <f aca="false">C11*D11</f>
        <v>301</v>
      </c>
    </row>
    <row r="12" customFormat="false" ht="15" hidden="false" customHeight="true" outlineLevel="0" collapsed="false">
      <c r="A12" s="72" t="str">
        <f aca="false">'Portfolio &amp; Rebalancing'!A13</f>
        <v>Costco</v>
      </c>
      <c r="B12" s="73" t="str">
        <f aca="false">'Portfolio &amp; Rebalancing'!B13</f>
        <v>COST</v>
      </c>
      <c r="C12" s="74" t="n">
        <f aca="false">'Portfolio &amp; Rebalancing'!F13</f>
        <v>350</v>
      </c>
      <c r="D12" s="75" t="n">
        <f aca="false">'Portfolio &amp; Rebalancing'!E13</f>
        <v>1</v>
      </c>
      <c r="E12" s="74" t="n">
        <f aca="false">C12*D12</f>
        <v>350</v>
      </c>
    </row>
    <row r="13" customFormat="false" ht="15" hidden="false" customHeight="true" outlineLevel="0" collapsed="false">
      <c r="A13" s="72" t="str">
        <f aca="false">'Portfolio &amp; Rebalancing'!A14</f>
        <v>Hermès</v>
      </c>
      <c r="B13" s="73" t="str">
        <f aca="false">'Portfolio &amp; Rebalancing'!B14</f>
        <v>RMS</v>
      </c>
      <c r="C13" s="74" t="n">
        <f aca="false">'Portfolio &amp; Rebalancing'!F14</f>
        <v>377</v>
      </c>
      <c r="D13" s="75" t="n">
        <f aca="false">'Portfolio &amp; Rebalancing'!E14</f>
        <v>0</v>
      </c>
      <c r="E13" s="74" t="n">
        <f aca="false">C13*D13</f>
        <v>0</v>
      </c>
    </row>
    <row r="14" customFormat="false" ht="15" hidden="false" customHeight="true" outlineLevel="0" collapsed="false">
      <c r="A14" s="72" t="str">
        <f aca="false">'Portfolio &amp; Rebalancing'!A15</f>
        <v>Veeva Systems</v>
      </c>
      <c r="B14" s="73" t="str">
        <f aca="false">'Portfolio &amp; Rebalancing'!B15</f>
        <v>VEEV</v>
      </c>
      <c r="C14" s="74" t="n">
        <f aca="false">'Portfolio &amp; Rebalancing'!F15</f>
        <v>323</v>
      </c>
      <c r="D14" s="75" t="n">
        <f aca="false">'Portfolio &amp; Rebalancing'!E15</f>
        <v>1</v>
      </c>
      <c r="E14" s="74" t="n">
        <f aca="false">C14*D14</f>
        <v>323</v>
      </c>
    </row>
    <row r="15" customFormat="false" ht="15" hidden="false" customHeight="true" outlineLevel="0" collapsed="false">
      <c r="A15" s="72" t="str">
        <f aca="false">'Portfolio &amp; Rebalancing'!A16</f>
        <v>Schneider Electric</v>
      </c>
      <c r="B15" s="73" t="str">
        <f aca="false">'Portfolio &amp; Rebalancing'!B16</f>
        <v>SU</v>
      </c>
      <c r="C15" s="74" t="n">
        <f aca="false">'Portfolio &amp; Rebalancing'!F16</f>
        <v>336</v>
      </c>
      <c r="D15" s="75" t="n">
        <f aca="false">'Portfolio &amp; Rebalancing'!E16</f>
        <v>0</v>
      </c>
      <c r="E15" s="74" t="n">
        <f aca="false">C15*D15</f>
        <v>0</v>
      </c>
    </row>
    <row r="16" customFormat="false" ht="15" hidden="false" customHeight="true" outlineLevel="0" collapsed="false">
      <c r="A16" s="72" t="str">
        <f aca="false">'Portfolio &amp; Rebalancing'!A17</f>
        <v>Berkshire Hathaway</v>
      </c>
      <c r="B16" s="73" t="str">
        <f aca="false">'Portfolio &amp; Rebalancing'!B17</f>
        <v>BRK.B</v>
      </c>
      <c r="C16" s="74" t="n">
        <f aca="false">'Portfolio &amp; Rebalancing'!F17</f>
        <v>403</v>
      </c>
      <c r="D16" s="75" t="n">
        <f aca="false">'Portfolio &amp; Rebalancing'!E17</f>
        <v>1</v>
      </c>
      <c r="E16" s="74" t="n">
        <f aca="false">C16*D16</f>
        <v>403</v>
      </c>
    </row>
    <row r="17" customFormat="false" ht="15" hidden="false" customHeight="true" outlineLevel="0" collapsed="false">
      <c r="A17" s="72" t="str">
        <f aca="false">'Portfolio &amp; Rebalancing'!A18</f>
        <v>Visa</v>
      </c>
      <c r="B17" s="73" t="str">
        <f aca="false">'Portfolio &amp; Rebalancing'!B18</f>
        <v>V</v>
      </c>
      <c r="C17" s="74" t="n">
        <f aca="false">'Portfolio &amp; Rebalancing'!F18</f>
        <v>416</v>
      </c>
      <c r="D17" s="75" t="n">
        <f aca="false">'Portfolio &amp; Rebalancing'!E18</f>
        <v>1</v>
      </c>
      <c r="E17" s="74" t="n">
        <f aca="false">C17*D17</f>
        <v>416</v>
      </c>
    </row>
    <row r="18" customFormat="false" ht="15" hidden="false" customHeight="true" outlineLevel="0" collapsed="false">
      <c r="A18" s="72" t="str">
        <f aca="false">'Portfolio &amp; Rebalancing'!A19</f>
        <v>Thermo Fisher</v>
      </c>
      <c r="B18" s="73" t="str">
        <f aca="false">'Portfolio &amp; Rebalancing'!B19</f>
        <v>TMO</v>
      </c>
      <c r="C18" s="74" t="n">
        <f aca="false">'Portfolio &amp; Rebalancing'!F19</f>
        <v>258</v>
      </c>
      <c r="D18" s="75" t="n">
        <f aca="false">'Portfolio &amp; Rebalancing'!E19</f>
        <v>1</v>
      </c>
      <c r="E18" s="74" t="n">
        <f aca="false">C18*D18</f>
        <v>258</v>
      </c>
    </row>
    <row r="19" customFormat="false" ht="15" hidden="false" customHeight="true" outlineLevel="0" collapsed="false">
      <c r="A19" s="72" t="str">
        <f aca="false">'Portfolio &amp; Rebalancing'!A20</f>
        <v>Amphenol</v>
      </c>
      <c r="B19" s="73" t="str">
        <f aca="false">'Portfolio &amp; Rebalancing'!B20</f>
        <v>APH</v>
      </c>
      <c r="C19" s="74" t="n">
        <f aca="false">'Portfolio &amp; Rebalancing'!F20</f>
        <v>249</v>
      </c>
      <c r="D19" s="75" t="n">
        <f aca="false">'Portfolio &amp; Rebalancing'!E20</f>
        <v>1</v>
      </c>
      <c r="E19" s="74" t="n">
        <f aca="false">C19*D19</f>
        <v>249</v>
      </c>
    </row>
    <row r="20" customFormat="false" ht="15" hidden="false" customHeight="true" outlineLevel="0" collapsed="false">
      <c r="A20" s="76" t="s">
        <v>82</v>
      </c>
      <c r="C20" s="77" t="n">
        <f aca="false">'Portfolio &amp; Rebalancing'!F21</f>
        <v>9863.77</v>
      </c>
      <c r="E20" s="77" t="n">
        <f aca="false">SUM(E4:E19)</f>
        <v>5281.28</v>
      </c>
    </row>
    <row r="22" customFormat="false" ht="15" hidden="false" customHeight="true" outlineLevel="0" collapsed="false">
      <c r="A22" s="76" t="s">
        <v>83</v>
      </c>
      <c r="B22" s="78" t="n">
        <f aca="false">IF('Portfolio &amp; Rebalancing'!F25=0,0,E20/'Portfolio &amp; Rebalancing'!F25)</f>
        <v>0.464747174573227</v>
      </c>
    </row>
    <row r="23" customFormat="false" ht="15" hidden="false" customHeight="true" outlineLevel="0" collapsed="false">
      <c r="A23" s="76" t="s">
        <v>84</v>
      </c>
      <c r="B23" s="78" t="n">
        <f aca="false">SUMPRODUCT('Portfolio &amp; Rebalancing'!$E$5:$E$20,'Portfolio &amp; Rebalancing'!$I$5:$I$20)/SUM('Portfolio &amp; Rebalancing'!$I$5:$I$20)</f>
        <v>0.495251424572628</v>
      </c>
    </row>
    <row r="24" customFormat="false" ht="15" hidden="false" customHeight="true" outlineLevel="0" collapsed="false">
      <c r="A24" s="76" t="s">
        <v>85</v>
      </c>
      <c r="B24" s="79" t="n">
        <f aca="false">'Parameter &amp; Regeln'!B11</f>
        <v>0.63</v>
      </c>
    </row>
    <row r="25" customFormat="false" ht="15" hidden="false" customHeight="true" outlineLevel="0" collapsed="false">
      <c r="A25" s="76" t="s">
        <v>86</v>
      </c>
      <c r="B25" s="76" t="str">
        <f aca="false">IF(B22&gt;B24,"⛔ ÜBER CAP","✅ OK")</f>
        <v>✅ OK</v>
      </c>
    </row>
    <row r="26" customFormat="false" ht="15" hidden="false" customHeight="true" outlineLevel="0" collapsed="false">
      <c r="A26" s="76" t="s">
        <v>87</v>
      </c>
      <c r="B26" s="80" t="str">
        <f aca="false">IF(B23&gt;B24,"⛔ ZIEL ÜBER CAP","✅ Ziel OK")</f>
        <v>✅ Ziel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16" activeCellId="0" sqref="F1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44.85"/>
    <col collapsed="false" customWidth="true" hidden="false" outlineLevel="0" max="2" min="2" style="1" width="20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70" t="s">
        <v>88</v>
      </c>
    </row>
    <row r="3" customFormat="false" ht="15" hidden="false" customHeight="true" outlineLevel="0" collapsed="false">
      <c r="A3" s="71" t="s">
        <v>89</v>
      </c>
      <c r="B3" s="71" t="s">
        <v>90</v>
      </c>
      <c r="C3" s="71" t="s">
        <v>91</v>
      </c>
    </row>
    <row r="4" customFormat="false" ht="15" hidden="false" customHeight="true" outlineLevel="0" collapsed="false">
      <c r="A4" s="72" t="s">
        <v>92</v>
      </c>
      <c r="B4" s="81" t="n">
        <v>950</v>
      </c>
      <c r="C4" s="82" t="s">
        <v>93</v>
      </c>
    </row>
    <row r="5" customFormat="false" ht="15" hidden="false" customHeight="true" outlineLevel="0" collapsed="false">
      <c r="A5" s="72" t="s">
        <v>94</v>
      </c>
      <c r="B5" s="83" t="n">
        <v>0.65</v>
      </c>
      <c r="C5" s="82" t="s">
        <v>95</v>
      </c>
    </row>
    <row r="6" customFormat="false" ht="15" hidden="false" customHeight="true" outlineLevel="0" collapsed="false">
      <c r="A6" s="72" t="s">
        <v>96</v>
      </c>
      <c r="B6" s="83" t="n">
        <v>0.3</v>
      </c>
      <c r="C6" s="82" t="s">
        <v>95</v>
      </c>
    </row>
    <row r="7" customFormat="false" ht="15" hidden="false" customHeight="true" outlineLevel="0" collapsed="false">
      <c r="A7" s="72" t="s">
        <v>97</v>
      </c>
      <c r="B7" s="83" t="n">
        <v>0.05</v>
      </c>
      <c r="C7" s="82" t="s">
        <v>95</v>
      </c>
    </row>
    <row r="8" customFormat="false" ht="15" hidden="false" customHeight="true" outlineLevel="0" collapsed="false">
      <c r="A8" s="72" t="s">
        <v>98</v>
      </c>
      <c r="B8" s="84" t="n">
        <v>0.015</v>
      </c>
      <c r="C8" s="82" t="s">
        <v>95</v>
      </c>
    </row>
    <row r="9" customFormat="false" ht="15" hidden="false" customHeight="true" outlineLevel="0" collapsed="false">
      <c r="A9" s="85" t="s">
        <v>99</v>
      </c>
      <c r="B9" s="86" t="n">
        <v>0.04</v>
      </c>
      <c r="C9" s="87" t="s">
        <v>95</v>
      </c>
    </row>
    <row r="10" customFormat="false" ht="15" hidden="false" customHeight="true" outlineLevel="0" collapsed="false">
      <c r="A10" s="72" t="s">
        <v>100</v>
      </c>
      <c r="B10" s="83" t="n">
        <v>0.1</v>
      </c>
      <c r="C10" s="82" t="s">
        <v>95</v>
      </c>
    </row>
    <row r="11" customFormat="false" ht="15" hidden="false" customHeight="true" outlineLevel="0" collapsed="false">
      <c r="A11" s="72" t="s">
        <v>85</v>
      </c>
      <c r="B11" s="83" t="n">
        <v>0.63</v>
      </c>
      <c r="C11" s="82" t="s">
        <v>95</v>
      </c>
    </row>
    <row r="12" customFormat="false" ht="15" hidden="false" customHeight="true" outlineLevel="0" collapsed="false">
      <c r="A12" s="72" t="s">
        <v>101</v>
      </c>
      <c r="B12" s="82" t="n">
        <v>11</v>
      </c>
      <c r="C12" s="82"/>
    </row>
    <row r="13" customFormat="false" ht="15" hidden="false" customHeight="true" outlineLevel="0" collapsed="false">
      <c r="A13" s="72" t="s">
        <v>102</v>
      </c>
      <c r="B13" s="82" t="n">
        <f aca="false">COUNTIF('Portfolio &amp; Rebalancing'!C5:C20,"Aktie")</f>
        <v>11</v>
      </c>
      <c r="C13" s="82"/>
    </row>
    <row r="14" customFormat="false" ht="15" hidden="false" customHeight="true" outlineLevel="0" collapsed="false">
      <c r="A14" s="88" t="s">
        <v>103</v>
      </c>
      <c r="B14" s="89" t="n">
        <f aca="false">COUNTA('Portfolio &amp; Rebalancing'!A5:A20)</f>
        <v>16</v>
      </c>
    </row>
    <row r="15" customFormat="false" ht="15" hidden="false" customHeight="true" outlineLevel="0" collapsed="false">
      <c r="A15" s="90" t="s">
        <v>104</v>
      </c>
      <c r="B15" s="87" t="n">
        <v>0.15</v>
      </c>
      <c r="C15" s="91" t="s">
        <v>95</v>
      </c>
    </row>
    <row r="16" customFormat="false" ht="15.75" hidden="false" customHeight="true" outlineLevel="0" collapsed="false">
      <c r="A16" s="90" t="s">
        <v>105</v>
      </c>
      <c r="B16" s="92" t="n">
        <f aca="false">B5+B6+B7</f>
        <v>1</v>
      </c>
      <c r="C16" s="91" t="s">
        <v>95</v>
      </c>
    </row>
    <row r="17" customFormat="false" ht="15" hidden="false" customHeight="true" outlineLevel="0" collapsed="false">
      <c r="A17" s="93" t="s">
        <v>106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94" t="s">
        <v>107</v>
      </c>
      <c r="B19" s="94" t="s">
        <v>108</v>
      </c>
      <c r="C19" s="94" t="s">
        <v>12</v>
      </c>
    </row>
    <row r="20" customFormat="false" ht="15" hidden="false" customHeight="true" outlineLevel="0" collapsed="false">
      <c r="A20" s="72" t="s">
        <v>109</v>
      </c>
      <c r="B20" s="82" t="s">
        <v>110</v>
      </c>
      <c r="C20" s="82" t="s">
        <v>111</v>
      </c>
    </row>
    <row r="21" customFormat="false" ht="15" hidden="false" customHeight="true" outlineLevel="0" collapsed="false">
      <c r="A21" s="72" t="s">
        <v>112</v>
      </c>
      <c r="B21" s="82" t="s">
        <v>113</v>
      </c>
      <c r="C21" s="82" t="s">
        <v>114</v>
      </c>
    </row>
    <row r="22" customFormat="false" ht="15" hidden="false" customHeight="true" outlineLevel="0" collapsed="false">
      <c r="A22" s="72" t="s">
        <v>115</v>
      </c>
      <c r="B22" s="82" t="s">
        <v>116</v>
      </c>
      <c r="C22" s="82" t="s">
        <v>117</v>
      </c>
    </row>
    <row r="23" customFormat="false" ht="15" hidden="false" customHeight="true" outlineLevel="0" collapsed="false">
      <c r="A23" s="72" t="s">
        <v>118</v>
      </c>
      <c r="B23" s="82" t="s">
        <v>119</v>
      </c>
      <c r="C23" s="82" t="s">
        <v>120</v>
      </c>
    </row>
    <row r="25" customFormat="false" ht="15" hidden="false" customHeight="true" outlineLevel="0" collapsed="false">
      <c r="A25" s="95" t="s">
        <v>121</v>
      </c>
      <c r="B25" s="96" t="n">
        <f aca="false">B4*B6</f>
        <v>285</v>
      </c>
      <c r="C25" s="97" t="s">
        <v>93</v>
      </c>
    </row>
    <row r="26" customFormat="false" ht="15" hidden="false" customHeight="true" outlineLevel="0" collapsed="false">
      <c r="A26" s="95" t="s">
        <v>122</v>
      </c>
      <c r="B26" s="98" t="n">
        <f aca="false">COUNTIFS('Portfolio &amp; Rebalancing'!$C$10:$C$20,"Aktie",'Portfolio &amp; Rebalancing'!$N$10:$N$20,"DEFCON 4*",'Portfolio &amp; Rebalancing'!$O$10:$O$20,"✅ Clean")</f>
        <v>6</v>
      </c>
    </row>
    <row r="27" customFormat="false" ht="15" hidden="false" customHeight="true" outlineLevel="0" collapsed="false">
      <c r="A27" s="99" t="s">
        <v>123</v>
      </c>
      <c r="B27" s="100" t="n">
        <v>0.5</v>
      </c>
      <c r="C27" s="99" t="s">
        <v>95</v>
      </c>
    </row>
    <row r="28" customFormat="false" ht="15" hidden="false" customHeight="true" outlineLevel="0" collapsed="false">
      <c r="A28" s="101" t="s">
        <v>124</v>
      </c>
    </row>
    <row r="29" customFormat="false" ht="15" hidden="false" customHeight="true" outlineLevel="0" collapsed="false">
      <c r="A29" s="99" t="s">
        <v>125</v>
      </c>
      <c r="B29" s="102" t="s">
        <v>126</v>
      </c>
      <c r="C29" s="99" t="s">
        <v>127</v>
      </c>
    </row>
    <row r="30" customFormat="false" ht="15" hidden="false" customHeight="true" outlineLevel="0" collapsed="false">
      <c r="A30" s="99" t="s">
        <v>128</v>
      </c>
      <c r="B30" s="102" t="s">
        <v>129</v>
      </c>
      <c r="C30" s="99" t="s">
        <v>130</v>
      </c>
    </row>
    <row r="31" customFormat="false" ht="15" hidden="false" customHeight="true" outlineLevel="0" collapsed="false">
      <c r="A31" s="99" t="s">
        <v>131</v>
      </c>
      <c r="B31" s="102" t="s">
        <v>132</v>
      </c>
      <c r="C31" s="99" t="s">
        <v>133</v>
      </c>
    </row>
    <row r="32" customFormat="false" ht="15" hidden="false" customHeight="true" outlineLevel="0" collapsed="false">
      <c r="A32" s="99" t="s">
        <v>134</v>
      </c>
      <c r="B32" s="102" t="n">
        <f aca="false">B4*B6/(COUNTIFS('Portfolio &amp; Rebalancing'!$C$10:$C$20,"Aktie",'Portfolio &amp; Rebalancing'!$N$10:$N$20,"DEFCON 4*",'Portfolio &amp; Rebalancing'!$O$10:$O$20,"✅ Clean")+(COUNTIFS('Portfolio &amp; Rebalancing'!$C$10:$C$20,"Aktie",'Portfolio &amp; Rebalancing'!$N$10:$N$20,"DEFCON 3*")*B27))</f>
        <v>38</v>
      </c>
      <c r="C32" s="99" t="s">
        <v>135</v>
      </c>
    </row>
  </sheetData>
  <conditionalFormatting sqref="B16">
    <cfRule type="expression" priority="2" aboveAverage="0" equalAverage="0" bottom="0" percent="0" rank="0" text="" dxfId="10">
      <formula>B16=1</formula>
    </cfRule>
    <cfRule type="expression" priority="3" aboveAverage="0" equalAverage="0" bottom="0" percent="0" rank="0" text="" dxfId="11">
      <formula>B16&lt;&gt;1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2026-03-29T11:47:07Z</dcterms:created>
  <dc:creator>openpyxl</dc:creator>
  <dc:description/>
  <dc:language>en-US</dc:language>
  <cp:lastModifiedBy>Tobias Kowalski</cp:lastModifiedBy>
  <dcterms:modified xsi:type="dcterms:W3CDTF">2026-04-14T22:59:23Z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