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– Kerndaten" sheetId="1" state="visible" r:id="rId1"/>
    <sheet xmlns:r="http://schemas.openxmlformats.org/officeDocument/2006/relationships" name="2 – Prognose &amp; Szenario" sheetId="2" state="visible" r:id="rId2"/>
    <sheet xmlns:r="http://schemas.openxmlformats.org/officeDocument/2006/relationships" name="3 – Sensitivität" sheetId="3" state="visible" r:id="rId3"/>
    <sheet xmlns:r="http://schemas.openxmlformats.org/officeDocument/2006/relationships" name="4 – Anomalien" sheetId="4" state="visible" r:id="rId4"/>
    <sheet xmlns:r="http://schemas.openxmlformats.org/officeDocument/2006/relationships" name="5 – Charts" sheetId="5" state="visible" r:id="rId5"/>
    <sheet xmlns:r="http://schemas.openxmlformats.org/officeDocument/2006/relationships" name="6 – Executiv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 &quot;M€&quot;"/>
    <numFmt numFmtId="165" formatCode="0.00&quot;%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1F1F1F"/>
      <sz val="10"/>
    </font>
    <font>
      <name val="Calibri"/>
      <color rgb="001F1F1F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9"/>
    </font>
    <font>
      <name val="Calibri"/>
      <sz val="9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34495E"/>
      </patternFill>
    </fill>
    <fill>
      <patternFill patternType="solid">
        <fgColor rgb="00FFD966"/>
      </patternFill>
    </fill>
    <fill>
      <patternFill patternType="solid">
        <fgColor rgb="0000B050"/>
      </patternFill>
    </fill>
    <fill>
      <patternFill patternType="solid">
        <fgColor rgb="00C0392B"/>
      </patternFill>
    </fill>
    <fill>
      <patternFill patternType="solid">
        <fgColor rgb="00FFD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164" fontId="5" fillId="12" borderId="1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top" wrapText="1"/>
    </xf>
    <xf numFmtId="0" fontId="3" fillId="14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vs. CapEx (FY2020–FY2025, M€)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 – Charts'!B3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'5 – Charts'!$A$4:$A$9</f>
            </numRef>
          </cat>
          <val>
            <numRef>
              <f>'5 – Charts'!$B$4:$B$9</f>
            </numRef>
          </val>
        </ser>
        <ser>
          <idx val="1"/>
          <order val="1"/>
          <tx>
            <strRef>
              <f>'5 – Charts'!C3</f>
            </strRef>
          </tx>
          <spPr>
            <a:solidFill xmlns:a="http://schemas.openxmlformats.org/drawingml/2006/main">
              <a:srgbClr val="FF6B35"/>
            </a:solidFill>
            <a:ln xmlns:a="http://schemas.openxmlformats.org/drawingml/2006/main">
              <a:prstDash val="solid"/>
            </a:ln>
          </spPr>
          <cat>
            <numRef>
              <f>'5 – Charts'!$A$4:$A$9</f>
            </numRef>
          </cat>
          <val>
            <numRef>
              <f>'5 – Charts'!$C$4:$C$9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Geschäftsjahr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Mio. 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FCF-Marge &amp; CapEx/OpCF-Ratio (%)</a:t>
            </a:r>
          </a:p>
        </rich>
      </tx>
    </title>
    <plotArea>
      <lineChart>
        <grouping val="standard"/>
        <ser>
          <idx val="0"/>
          <order val="0"/>
          <tx>
            <strRef>
              <f>'5 – Charts'!E3</f>
            </strRef>
          </tx>
          <spPr>
            <a:ln xmlns:a="http://schemas.openxmlformats.org/drawingml/2006/main" w="25000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 – Charts'!$A$4:$A$9</f>
            </numRef>
          </cat>
          <val>
            <numRef>
              <f>'5 – Charts'!$E$4:$E$9</f>
            </numRef>
          </val>
        </ser>
        <ser>
          <idx val="1"/>
          <order val="1"/>
          <tx>
            <strRef>
              <f>'5 – Charts'!F3</f>
            </strRef>
          </tx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 – Charts'!$A$4:$A$9</f>
            </numRef>
          </cat>
          <val>
            <numRef>
              <f>'5 – Charts'!$F$4:$F$9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Geschäftsjahr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THERMO FISHER SCIENTIFIC (TMO) – CapEx vs. FCF Analyse FY2020–FY2025</t>
        </is>
      </c>
    </row>
    <row r="2">
      <c r="A2" s="2" t="inlineStr">
        <is>
          <t>Alle Werte in Mio. EUR (USD×0.92) | Quelle: StockAnalysis, GuruFocus, IR ThermoFisher | Stand: 24.03.2026</t>
        </is>
      </c>
    </row>
    <row r="4" ht="22" customHeight="1">
      <c r="A4" s="3" t="inlineStr">
        <is>
          <t>Kennzahl</t>
        </is>
      </c>
      <c r="B4" s="3" t="inlineStr">
        <is>
          <t>FY2020</t>
        </is>
      </c>
      <c r="C4" s="3" t="inlineStr">
        <is>
          <t>FY2021</t>
        </is>
      </c>
      <c r="D4" s="3" t="inlineStr">
        <is>
          <t>FY2022</t>
        </is>
      </c>
      <c r="E4" s="3" t="inlineStr">
        <is>
          <t>FY2023</t>
        </is>
      </c>
      <c r="F4" s="3" t="inlineStr">
        <is>
          <t>FY2024</t>
        </is>
      </c>
      <c r="G4" s="3" t="inlineStr">
        <is>
          <t>FY2025</t>
        </is>
      </c>
    </row>
    <row r="5" ht="20" customHeight="1">
      <c r="A5" s="4" t="inlineStr">
        <is>
          <t>Umsatz (Revenue)</t>
        </is>
      </c>
      <c r="B5" s="5" t="n">
        <v>23499</v>
      </c>
      <c r="C5" s="5" t="n">
        <v>36074</v>
      </c>
      <c r="D5" s="5" t="n">
        <v>41322</v>
      </c>
      <c r="E5" s="5" t="n">
        <v>39428</v>
      </c>
      <c r="F5" s="5" t="n">
        <v>39450</v>
      </c>
      <c r="G5" s="5" t="n">
        <v>40995</v>
      </c>
    </row>
    <row r="6" ht="20" customHeight="1">
      <c r="A6" s="6" t="inlineStr">
        <is>
          <t>Operativer CF (OpCF)</t>
        </is>
      </c>
      <c r="B6" s="7" t="n">
        <v>7626</v>
      </c>
      <c r="C6" s="7" t="n">
        <v>8567</v>
      </c>
      <c r="D6" s="7" t="n">
        <v>8422</v>
      </c>
      <c r="E6" s="7" t="n">
        <v>7734</v>
      </c>
      <c r="F6" s="7" t="n">
        <v>7974</v>
      </c>
      <c r="G6" s="7" t="n">
        <v>7193</v>
      </c>
    </row>
    <row r="7" ht="20" customHeight="1">
      <c r="A7" s="4" t="inlineStr">
        <is>
          <t>CapEx (netto)</t>
        </is>
      </c>
      <c r="B7" s="5" t="n">
        <v>1356</v>
      </c>
      <c r="C7" s="5" t="n">
        <v>2321</v>
      </c>
      <c r="D7" s="5" t="n">
        <v>2064</v>
      </c>
      <c r="E7" s="5" t="n">
        <v>1361</v>
      </c>
      <c r="F7" s="5" t="n">
        <v>1288</v>
      </c>
      <c r="G7" s="5" t="n">
        <v>1363</v>
      </c>
    </row>
    <row r="8" ht="20" customHeight="1">
      <c r="A8" s="6" t="inlineStr">
        <is>
          <t>Free Cash Flow (FCF)</t>
        </is>
      </c>
      <c r="B8" s="7" t="n">
        <v>6270</v>
      </c>
      <c r="C8" s="7" t="n">
        <v>6246</v>
      </c>
      <c r="D8" s="7" t="n">
        <v>6358</v>
      </c>
      <c r="E8" s="7" t="n">
        <v>6373</v>
      </c>
      <c r="F8" s="7" t="n">
        <v>6686</v>
      </c>
      <c r="G8" s="7" t="n">
        <v>5830</v>
      </c>
    </row>
    <row r="9" ht="20" customHeight="1">
      <c r="A9" s="4" t="inlineStr">
        <is>
          <t>EBIT</t>
        </is>
      </c>
      <c r="B9" s="5" t="n">
        <v>4285</v>
      </c>
      <c r="C9" s="5" t="n">
        <v>7582</v>
      </c>
      <c r="D9" s="5" t="n">
        <v>8225</v>
      </c>
      <c r="E9" s="5" t="n">
        <v>6311</v>
      </c>
      <c r="F9" s="5" t="n">
        <v>6753</v>
      </c>
      <c r="G9" s="5" t="n">
        <v>7130</v>
      </c>
    </row>
    <row r="10" ht="20" customHeight="1">
      <c r="A10" s="6" t="inlineStr">
        <is>
          <t>Nettogewinn (NI)</t>
        </is>
      </c>
      <c r="B10" s="7" t="n">
        <v>5865</v>
      </c>
      <c r="C10" s="7" t="n">
        <v>7107</v>
      </c>
      <c r="D10" s="7" t="n">
        <v>6394</v>
      </c>
      <c r="E10" s="7" t="n">
        <v>5515</v>
      </c>
      <c r="F10" s="7" t="n">
        <v>5828</v>
      </c>
      <c r="G10" s="7" t="n">
        <v>6164</v>
      </c>
    </row>
    <row r="12" ht="20" customHeight="1">
      <c r="A12" s="3" t="inlineStr">
        <is>
          <t>ABGELEITETE METRIKEN</t>
        </is>
      </c>
      <c r="B12" s="8" t="n"/>
      <c r="C12" s="8" t="n"/>
      <c r="D12" s="8" t="n"/>
      <c r="E12" s="8" t="n"/>
      <c r="F12" s="8" t="n"/>
      <c r="G12" s="8" t="n"/>
    </row>
    <row r="13">
      <c r="A13" s="9" t="inlineStr">
        <is>
          <t>Kennzahl</t>
        </is>
      </c>
      <c r="B13" s="9" t="inlineStr">
        <is>
          <t>FY2020</t>
        </is>
      </c>
      <c r="C13" s="9" t="inlineStr">
        <is>
          <t>FY2021</t>
        </is>
      </c>
      <c r="D13" s="9" t="inlineStr">
        <is>
          <t>FY2022</t>
        </is>
      </c>
      <c r="E13" s="9" t="inlineStr">
        <is>
          <t>FY2023</t>
        </is>
      </c>
      <c r="F13" s="9" t="inlineStr">
        <is>
          <t>FY2024</t>
        </is>
      </c>
      <c r="G13" s="9" t="inlineStr">
        <is>
          <t>FY2025</t>
        </is>
      </c>
    </row>
    <row r="14" ht="20" customHeight="1">
      <c r="A14" s="4" t="inlineStr">
        <is>
          <t>CapEx / OpCF (%)</t>
        </is>
      </c>
      <c r="B14" s="10" t="n">
        <v>17.78</v>
      </c>
      <c r="C14" s="11" t="n">
        <v>27.09</v>
      </c>
      <c r="D14" s="10" t="n">
        <v>24.51</v>
      </c>
      <c r="E14" s="10" t="n">
        <v>17.6</v>
      </c>
      <c r="F14" s="10" t="n">
        <v>16.15</v>
      </c>
      <c r="G14" s="10" t="n">
        <v>18.95</v>
      </c>
    </row>
    <row r="15" ht="20" customHeight="1">
      <c r="A15" s="6" t="inlineStr">
        <is>
          <t>FCF-Marge (%)</t>
        </is>
      </c>
      <c r="B15" s="12" t="n">
        <v>26.68</v>
      </c>
      <c r="C15" s="12" t="n">
        <v>17.31</v>
      </c>
      <c r="D15" s="12" t="n">
        <v>15.39</v>
      </c>
      <c r="E15" s="12" t="n">
        <v>16.16</v>
      </c>
      <c r="F15" s="12" t="n">
        <v>16.95</v>
      </c>
      <c r="G15" s="12" t="n">
        <v>14.22</v>
      </c>
    </row>
    <row r="16" ht="20" customHeight="1">
      <c r="A16" s="4" t="inlineStr">
        <is>
          <t>FCF / OpCF (%)</t>
        </is>
      </c>
      <c r="B16" s="10" t="n">
        <v>82.22</v>
      </c>
      <c r="C16" s="10" t="n">
        <v>72.91</v>
      </c>
      <c r="D16" s="10" t="n">
        <v>75.48999999999999</v>
      </c>
      <c r="E16" s="10" t="n">
        <v>82.40000000000001</v>
      </c>
      <c r="F16" s="10" t="n">
        <v>83.84999999999999</v>
      </c>
      <c r="G16" s="10" t="n">
        <v>81.05</v>
      </c>
    </row>
    <row r="17" ht="20" customHeight="1">
      <c r="A17" s="6" t="inlineStr">
        <is>
          <t>CapEx / Umsatz (%)</t>
        </is>
      </c>
      <c r="B17" s="12" t="n">
        <v>5.77</v>
      </c>
      <c r="C17" s="12" t="n">
        <v>6.43</v>
      </c>
      <c r="D17" s="12" t="n">
        <v>4.99</v>
      </c>
      <c r="E17" s="12" t="n">
        <v>3.45</v>
      </c>
      <c r="F17" s="12" t="n">
        <v>3.26</v>
      </c>
      <c r="G17" s="12" t="n">
        <v>3.32</v>
      </c>
    </row>
    <row r="18" ht="20" customHeight="1">
      <c r="A18" s="4" t="inlineStr">
        <is>
          <t>EBIT-Marge (%)</t>
        </is>
      </c>
      <c r="B18" s="10" t="n">
        <v>18.23</v>
      </c>
      <c r="C18" s="10" t="n">
        <v>21.02</v>
      </c>
      <c r="D18" s="10" t="n">
        <v>19.9</v>
      </c>
      <c r="E18" s="10" t="n">
        <v>16.01</v>
      </c>
      <c r="F18" s="10" t="n">
        <v>17.12</v>
      </c>
      <c r="G18" s="10" t="n">
        <v>17.39</v>
      </c>
    </row>
    <row r="21">
      <c r="A21" s="13" t="inlineStr">
        <is>
          <t>CAGR-ANALYSE (FY2020 → FY2024, 4 Jahre)</t>
        </is>
      </c>
      <c r="B21" s="8" t="n"/>
      <c r="C21" s="8" t="n"/>
    </row>
    <row r="22">
      <c r="A22" s="9" t="inlineStr">
        <is>
          <t>Metrik</t>
        </is>
      </c>
      <c r="B22" s="9" t="inlineStr">
        <is>
          <t>CAGR %</t>
        </is>
      </c>
      <c r="C22" s="8" t="n"/>
    </row>
    <row r="23" ht="18" customHeight="1">
      <c r="A23" s="4" t="inlineStr">
        <is>
          <t>Umsatz</t>
        </is>
      </c>
      <c r="B23" s="14" t="n">
        <v>13.83</v>
      </c>
      <c r="C23" s="15" t="inlineStr">
        <is>
          <t>✅ Stark</t>
        </is>
      </c>
    </row>
    <row r="24" ht="18" customHeight="1">
      <c r="A24" s="6" t="inlineStr">
        <is>
          <t>OpCF</t>
        </is>
      </c>
      <c r="B24" s="12" t="n">
        <v>1.12</v>
      </c>
      <c r="C24" s="16" t="inlineStr">
        <is>
          <t>⚠️ Moderat</t>
        </is>
      </c>
    </row>
    <row r="25" ht="18" customHeight="1">
      <c r="A25" s="4" t="inlineStr">
        <is>
          <t>CapEx</t>
        </is>
      </c>
      <c r="B25" s="10" t="n">
        <v>-1.28</v>
      </c>
      <c r="C25" s="15" t="inlineStr">
        <is>
          <t>🔴 Negativ</t>
        </is>
      </c>
    </row>
    <row r="26" ht="18" customHeight="1">
      <c r="A26" s="6" t="inlineStr">
        <is>
          <t>FCF</t>
        </is>
      </c>
      <c r="B26" s="12" t="n">
        <v>1.62</v>
      </c>
      <c r="C26" s="16" t="inlineStr">
        <is>
          <t>⚠️ Moderat</t>
        </is>
      </c>
    </row>
    <row r="27" ht="18" customHeight="1">
      <c r="A27" s="4" t="inlineStr">
        <is>
          <t>EBIT</t>
        </is>
      </c>
      <c r="B27" s="14" t="n">
        <v>12.04</v>
      </c>
      <c r="C27" s="15" t="inlineStr">
        <is>
          <t>✅ Stark</t>
        </is>
      </c>
    </row>
    <row r="28" ht="18" customHeight="1">
      <c r="A28" s="6" t="inlineStr">
        <is>
          <t>Nettogewinn</t>
        </is>
      </c>
      <c r="B28" s="12" t="n">
        <v>-0.16</v>
      </c>
      <c r="C28" s="16" t="inlineStr">
        <is>
          <t>🔴 Negativ</t>
        </is>
      </c>
    </row>
    <row r="29">
      <c r="A29" s="8" t="n"/>
      <c r="B29" s="8" t="n"/>
      <c r="C29" s="8" t="n"/>
    </row>
  </sheetData>
  <mergeCells count="4">
    <mergeCell ref="A21:G21"/>
    <mergeCell ref="A2:G2"/>
    <mergeCell ref="A1:G1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7" t="inlineStr">
        <is>
          <t>PROGNOSE FY2026–FY2028 | SZENARIO-MODELLIERUNG (Base / Bull / Bear)</t>
        </is>
      </c>
    </row>
    <row r="2">
      <c r="A2" s="2" t="inlineStr">
        <is>
          <t>Basis: FY2025-Werte × angepasste Wachstumsraten je Szenario</t>
        </is>
      </c>
    </row>
    <row r="4" ht="20" customHeight="1">
      <c r="A4" s="18" t="inlineStr">
        <is>
          <t>SZENARIO: BASE | Rev-Wachstum: 5% p.a. | OpCF: 4% | CapEx: 2%</t>
        </is>
      </c>
    </row>
    <row r="5" ht="18" customHeight="1">
      <c r="A5" s="19" t="inlineStr">
        <is>
          <t>Kennzahl</t>
        </is>
      </c>
      <c r="B5" s="19" t="inlineStr">
        <is>
          <t>FY2026E</t>
        </is>
      </c>
      <c r="C5" s="19" t="inlineStr">
        <is>
          <t>FY2027E</t>
        </is>
      </c>
      <c r="D5" s="19" t="inlineStr">
        <is>
          <t>FY2028E</t>
        </is>
      </c>
    </row>
    <row r="6" ht="18" customHeight="1">
      <c r="A6" s="4" t="inlineStr">
        <is>
          <t>Umsatz (M€)</t>
        </is>
      </c>
      <c r="B6" s="5" t="n">
        <v>43044.8</v>
      </c>
      <c r="C6" s="5" t="n">
        <v>45197</v>
      </c>
      <c r="D6" s="5" t="n">
        <v>47456.8</v>
      </c>
    </row>
    <row r="7" ht="18" customHeight="1">
      <c r="A7" s="6" t="inlineStr">
        <is>
          <t>OpCF (M€)</t>
        </is>
      </c>
      <c r="B7" s="7" t="n">
        <v>7480.7</v>
      </c>
      <c r="C7" s="7" t="n">
        <v>7779.9</v>
      </c>
      <c r="D7" s="7" t="n">
        <v>8091.1</v>
      </c>
    </row>
    <row r="8" ht="18" customHeight="1">
      <c r="A8" s="4" t="inlineStr">
        <is>
          <t>CapEx (M€)</t>
        </is>
      </c>
      <c r="B8" s="5" t="n">
        <v>1390.3</v>
      </c>
      <c r="C8" s="5" t="n">
        <v>1418.1</v>
      </c>
      <c r="D8" s="5" t="n">
        <v>1446.4</v>
      </c>
    </row>
    <row r="9" ht="18" customHeight="1">
      <c r="A9" s="6" t="inlineStr">
        <is>
          <t>FCF (M€)</t>
        </is>
      </c>
      <c r="B9" s="7" t="n">
        <v>6090.4</v>
      </c>
      <c r="C9" s="7" t="n">
        <v>6361.8</v>
      </c>
      <c r="D9" s="7" t="n">
        <v>6644.7</v>
      </c>
    </row>
    <row r="10" ht="18" customHeight="1">
      <c r="A10" s="4" t="inlineStr">
        <is>
          <t>FCF-Marge (%)</t>
        </is>
      </c>
      <c r="B10" s="10" t="n">
        <v>14.15</v>
      </c>
      <c r="C10" s="10" t="n">
        <v>14.08</v>
      </c>
      <c r="D10" s="10" t="n">
        <v>14</v>
      </c>
    </row>
    <row r="11" ht="18" customHeight="1">
      <c r="A11" s="6" t="inlineStr">
        <is>
          <t>CapEx/OpCF (%)</t>
        </is>
      </c>
      <c r="B11" s="12" t="n">
        <v>18.59</v>
      </c>
      <c r="C11" s="12" t="n">
        <v>18.23</v>
      </c>
      <c r="D11" s="12" t="n">
        <v>17.88</v>
      </c>
    </row>
    <row r="13" ht="20" customHeight="1">
      <c r="A13" s="20" t="inlineStr">
        <is>
          <t>SZENARIO: BULL | Rev-Wachstum: 8% p.a. | OpCF: 7% | CapEx: 1%</t>
        </is>
      </c>
    </row>
    <row r="14" ht="18" customHeight="1">
      <c r="A14" s="19" t="inlineStr">
        <is>
          <t>Kennzahl</t>
        </is>
      </c>
      <c r="B14" s="19" t="inlineStr">
        <is>
          <t>FY2026E</t>
        </is>
      </c>
      <c r="C14" s="19" t="inlineStr">
        <is>
          <t>FY2027E</t>
        </is>
      </c>
      <c r="D14" s="19" t="inlineStr">
        <is>
          <t>FY2028E</t>
        </is>
      </c>
    </row>
    <row r="15" ht="18" customHeight="1">
      <c r="A15" s="4" t="inlineStr">
        <is>
          <t>Umsatz (M€)</t>
        </is>
      </c>
      <c r="B15" s="5" t="n">
        <v>44274.6</v>
      </c>
      <c r="C15" s="5" t="n">
        <v>47816.6</v>
      </c>
      <c r="D15" s="5" t="n">
        <v>51641.9</v>
      </c>
    </row>
    <row r="16" ht="18" customHeight="1">
      <c r="A16" s="6" t="inlineStr">
        <is>
          <t>OpCF (M€)</t>
        </is>
      </c>
      <c r="B16" s="7" t="n">
        <v>7696.5</v>
      </c>
      <c r="C16" s="7" t="n">
        <v>8235.299999999999</v>
      </c>
      <c r="D16" s="7" t="n">
        <v>8811.700000000001</v>
      </c>
    </row>
    <row r="17" ht="18" customHeight="1">
      <c r="A17" s="4" t="inlineStr">
        <is>
          <t>CapEx (M€)</t>
        </is>
      </c>
      <c r="B17" s="5" t="n">
        <v>1376.6</v>
      </c>
      <c r="C17" s="5" t="n">
        <v>1390.4</v>
      </c>
      <c r="D17" s="5" t="n">
        <v>1404.3</v>
      </c>
    </row>
    <row r="18" ht="18" customHeight="1">
      <c r="A18" s="6" t="inlineStr">
        <is>
          <t>FCF (M€)</t>
        </is>
      </c>
      <c r="B18" s="7" t="n">
        <v>6319.9</v>
      </c>
      <c r="C18" s="7" t="n">
        <v>6844.9</v>
      </c>
      <c r="D18" s="7" t="n">
        <v>7407.4</v>
      </c>
    </row>
    <row r="19" ht="18" customHeight="1">
      <c r="A19" s="4" t="inlineStr">
        <is>
          <t>FCF-Marge (%)</t>
        </is>
      </c>
      <c r="B19" s="10" t="n">
        <v>14.27</v>
      </c>
      <c r="C19" s="10" t="n">
        <v>14.31</v>
      </c>
      <c r="D19" s="10" t="n">
        <v>14.34</v>
      </c>
    </row>
    <row r="20" ht="18" customHeight="1">
      <c r="A20" s="6" t="inlineStr">
        <is>
          <t>CapEx/OpCF (%)</t>
        </is>
      </c>
      <c r="B20" s="12" t="n">
        <v>17.89</v>
      </c>
      <c r="C20" s="12" t="n">
        <v>16.88</v>
      </c>
      <c r="D20" s="12" t="n">
        <v>15.94</v>
      </c>
    </row>
    <row r="22" ht="20" customHeight="1">
      <c r="A22" s="21" t="inlineStr">
        <is>
          <t>SZENARIO: BEAR | Rev-Wachstum: 1% p.a. | OpCF: 0% | CapEx: 4%</t>
        </is>
      </c>
    </row>
    <row r="23" ht="18" customHeight="1">
      <c r="A23" s="19" t="inlineStr">
        <is>
          <t>Kennzahl</t>
        </is>
      </c>
      <c r="B23" s="19" t="inlineStr">
        <is>
          <t>FY2026E</t>
        </is>
      </c>
      <c r="C23" s="19" t="inlineStr">
        <is>
          <t>FY2027E</t>
        </is>
      </c>
      <c r="D23" s="19" t="inlineStr">
        <is>
          <t>FY2028E</t>
        </is>
      </c>
    </row>
    <row r="24" ht="18" customHeight="1">
      <c r="A24" s="4" t="inlineStr">
        <is>
          <t>Umsatz (M€)</t>
        </is>
      </c>
      <c r="B24" s="5" t="n">
        <v>41404.9</v>
      </c>
      <c r="C24" s="5" t="n">
        <v>41819</v>
      </c>
      <c r="D24" s="5" t="n">
        <v>42237.2</v>
      </c>
    </row>
    <row r="25" ht="18" customHeight="1">
      <c r="A25" s="6" t="inlineStr">
        <is>
          <t>OpCF (M€)</t>
        </is>
      </c>
      <c r="B25" s="7" t="n">
        <v>7193</v>
      </c>
      <c r="C25" s="7" t="n">
        <v>7193</v>
      </c>
      <c r="D25" s="7" t="n">
        <v>7193</v>
      </c>
    </row>
    <row r="26" ht="18" customHeight="1">
      <c r="A26" s="4" t="inlineStr">
        <is>
          <t>CapEx (M€)</t>
        </is>
      </c>
      <c r="B26" s="5" t="n">
        <v>1417.5</v>
      </c>
      <c r="C26" s="5" t="n">
        <v>1474.2</v>
      </c>
      <c r="D26" s="5" t="n">
        <v>1533.2</v>
      </c>
    </row>
    <row r="27" ht="18" customHeight="1">
      <c r="A27" s="6" t="inlineStr">
        <is>
          <t>FCF (M€)</t>
        </is>
      </c>
      <c r="B27" s="22" t="n">
        <v>5775.5</v>
      </c>
      <c r="C27" s="22" t="n">
        <v>5718.8</v>
      </c>
      <c r="D27" s="22" t="n">
        <v>5659.8</v>
      </c>
    </row>
    <row r="28" ht="18" customHeight="1">
      <c r="A28" s="4" t="inlineStr">
        <is>
          <t>FCF-Marge (%)</t>
        </is>
      </c>
      <c r="B28" s="10" t="n">
        <v>13.95</v>
      </c>
      <c r="C28" s="10" t="n">
        <v>13.68</v>
      </c>
      <c r="D28" s="10" t="n">
        <v>13.4</v>
      </c>
    </row>
    <row r="29" ht="18" customHeight="1">
      <c r="A29" s="6" t="inlineStr">
        <is>
          <t>CapEx/OpCF (%)</t>
        </is>
      </c>
      <c r="B29" s="12" t="n">
        <v>19.71</v>
      </c>
      <c r="C29" s="12" t="n">
        <v>20.49</v>
      </c>
      <c r="D29" s="12" t="n">
        <v>21.32</v>
      </c>
    </row>
  </sheetData>
  <mergeCells count="5">
    <mergeCell ref="A4:H4"/>
    <mergeCell ref="A2:H2"/>
    <mergeCell ref="A13:H13"/>
    <mergeCell ref="A1:H1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7" t="inlineStr">
        <is>
          <t>SENSITIVITÄTSANALYSE – FCF FY2026E (M€) | Achsen: OpCF-Wachstum vs. CapEx-Wachstum</t>
        </is>
      </c>
    </row>
    <row r="2">
      <c r="A2" s="2" t="inlineStr">
        <is>
          <t>Basis OpCF: 7193 M€ | Basis CapEx: 1363 M€ | FCF = OpCF × (1+g_opcf) − CapEx × (1+g_capex)</t>
        </is>
      </c>
    </row>
    <row r="4">
      <c r="A4" s="23" t="inlineStr">
        <is>
          <t>OpCF-Wachstum ▼ / CapEx-Wachstum ▶</t>
        </is>
      </c>
      <c r="B4" s="24" t="inlineStr">
        <is>
          <t>CapEx-Wachstum (FY2026E)</t>
        </is>
      </c>
      <c r="C4" s="8" t="n"/>
      <c r="D4" s="8" t="n"/>
      <c r="E4" s="8" t="n"/>
      <c r="F4" s="8" t="n"/>
      <c r="G4" s="8" t="n"/>
      <c r="H4" s="8" t="n"/>
    </row>
    <row r="5">
      <c r="A5" s="8" t="n"/>
      <c r="B5" s="9" t="inlineStr">
        <is>
          <t>-5%</t>
        </is>
      </c>
      <c r="C5" s="9" t="inlineStr">
        <is>
          <t>-2%</t>
        </is>
      </c>
      <c r="D5" s="9" t="inlineStr">
        <is>
          <t>+0%</t>
        </is>
      </c>
      <c r="E5" s="9" t="inlineStr">
        <is>
          <t>+2%</t>
        </is>
      </c>
      <c r="F5" s="9" t="inlineStr">
        <is>
          <t>+4%</t>
        </is>
      </c>
      <c r="G5" s="9" t="inlineStr">
        <is>
          <t>+6%</t>
        </is>
      </c>
      <c r="H5" s="9" t="inlineStr">
        <is>
          <t>+8%</t>
        </is>
      </c>
    </row>
    <row r="6" ht="20" customHeight="1">
      <c r="A6" s="9" t="inlineStr">
        <is>
          <t>-5%</t>
        </is>
      </c>
      <c r="B6" s="25" t="n">
        <v>5538.5</v>
      </c>
      <c r="C6" s="26" t="n">
        <v>5497.6</v>
      </c>
      <c r="D6" s="26" t="n">
        <v>5470.3</v>
      </c>
      <c r="E6" s="26" t="n">
        <v>5443.1</v>
      </c>
      <c r="F6" s="26" t="n">
        <v>5415.8</v>
      </c>
      <c r="G6" s="26" t="n">
        <v>5388.6</v>
      </c>
      <c r="H6" s="26" t="n">
        <v>5361.3</v>
      </c>
    </row>
    <row r="7" ht="20" customHeight="1">
      <c r="A7" s="9" t="inlineStr">
        <is>
          <t>-2%</t>
        </is>
      </c>
      <c r="B7" s="25" t="n">
        <v>5754.3</v>
      </c>
      <c r="C7" s="25" t="n">
        <v>5713.4</v>
      </c>
      <c r="D7" s="25" t="n">
        <v>5686.1</v>
      </c>
      <c r="E7" s="25" t="n">
        <v>5658.9</v>
      </c>
      <c r="F7" s="25" t="n">
        <v>5631.6</v>
      </c>
      <c r="G7" s="25" t="n">
        <v>5604.4</v>
      </c>
      <c r="H7" s="25" t="n">
        <v>5577.1</v>
      </c>
    </row>
    <row r="8" ht="20" customHeight="1">
      <c r="A8" s="9" t="inlineStr">
        <is>
          <t>+0%</t>
        </is>
      </c>
      <c r="B8" s="25" t="n">
        <v>5898.1</v>
      </c>
      <c r="C8" s="25" t="n">
        <v>5857.3</v>
      </c>
      <c r="D8" s="25" t="n">
        <v>5830</v>
      </c>
      <c r="E8" s="25" t="n">
        <v>5802.7</v>
      </c>
      <c r="F8" s="25" t="n">
        <v>5775.5</v>
      </c>
      <c r="G8" s="25" t="n">
        <v>5748.2</v>
      </c>
      <c r="H8" s="25" t="n">
        <v>5721</v>
      </c>
    </row>
    <row r="9" ht="20" customHeight="1">
      <c r="A9" s="9" t="inlineStr">
        <is>
          <t>+2%</t>
        </is>
      </c>
      <c r="B9" s="25" t="n">
        <v>6042</v>
      </c>
      <c r="C9" s="25" t="n">
        <v>6001.1</v>
      </c>
      <c r="D9" s="25" t="n">
        <v>5973.9</v>
      </c>
      <c r="E9" s="25" t="n">
        <v>5946.6</v>
      </c>
      <c r="F9" s="25" t="n">
        <v>5919.3</v>
      </c>
      <c r="G9" s="25" t="n">
        <v>5892.1</v>
      </c>
      <c r="H9" s="25" t="n">
        <v>5864.8</v>
      </c>
    </row>
    <row r="10" ht="20" customHeight="1">
      <c r="A10" s="9" t="inlineStr">
        <is>
          <t>+4%</t>
        </is>
      </c>
      <c r="B10" s="25" t="n">
        <v>6185.9</v>
      </c>
      <c r="C10" s="25" t="n">
        <v>6145</v>
      </c>
      <c r="D10" s="25" t="n">
        <v>6117.7</v>
      </c>
      <c r="E10" s="25" t="n">
        <v>6090.5</v>
      </c>
      <c r="F10" s="25" t="n">
        <v>6063.2</v>
      </c>
      <c r="G10" s="25" t="n">
        <v>6035.9</v>
      </c>
      <c r="H10" s="25" t="n">
        <v>6008.7</v>
      </c>
    </row>
    <row r="11" ht="20" customHeight="1">
      <c r="A11" s="9" t="inlineStr">
        <is>
          <t>+6%</t>
        </is>
      </c>
      <c r="B11" s="25" t="n">
        <v>6329.7</v>
      </c>
      <c r="C11" s="25" t="n">
        <v>6288.8</v>
      </c>
      <c r="D11" s="25" t="n">
        <v>6261.6</v>
      </c>
      <c r="E11" s="25" t="n">
        <v>6234.3</v>
      </c>
      <c r="F11" s="25" t="n">
        <v>6207.1</v>
      </c>
      <c r="G11" s="25" t="n">
        <v>6179.8</v>
      </c>
      <c r="H11" s="25" t="n">
        <v>6152.5</v>
      </c>
    </row>
    <row r="12" ht="20" customHeight="1">
      <c r="A12" s="9" t="inlineStr">
        <is>
          <t>+8%</t>
        </is>
      </c>
      <c r="B12" s="25" t="n">
        <v>6473.6</v>
      </c>
      <c r="C12" s="25" t="n">
        <v>6432.7</v>
      </c>
      <c r="D12" s="25" t="n">
        <v>6405.4</v>
      </c>
      <c r="E12" s="25" t="n">
        <v>6378.2</v>
      </c>
      <c r="F12" s="25" t="n">
        <v>6350.9</v>
      </c>
      <c r="G12" s="25" t="n">
        <v>6323.7</v>
      </c>
      <c r="H12" s="25" t="n">
        <v>6296.4</v>
      </c>
    </row>
    <row r="14">
      <c r="A14" s="19" t="inlineStr">
        <is>
          <t>LEGENDE</t>
        </is>
      </c>
    </row>
    <row r="15" ht="18" customHeight="1">
      <c r="A15" s="27" t="inlineStr">
        <is>
          <t>≥ 6.500 M€</t>
        </is>
      </c>
      <c r="B15" s="28" t="inlineStr">
        <is>
          <t>✅ Starke FCF-Generierung</t>
        </is>
      </c>
    </row>
    <row r="16" ht="18" customHeight="1">
      <c r="A16" s="29" t="inlineStr">
        <is>
          <t>5.500–6.499</t>
        </is>
      </c>
      <c r="B16" s="30" t="inlineStr">
        <is>
          <t>⚠️ Moderat – beobachten</t>
        </is>
      </c>
    </row>
    <row r="17" ht="18" customHeight="1">
      <c r="A17" s="31" t="inlineStr">
        <is>
          <t>&lt; 5.500 M€</t>
        </is>
      </c>
      <c r="B17" s="32" t="inlineStr">
        <is>
          <t>🔴 Schwach – DEFCON-Warnung</t>
        </is>
      </c>
    </row>
  </sheetData>
  <mergeCells count="5">
    <mergeCell ref="A2:I2"/>
    <mergeCell ref="A4:A5"/>
    <mergeCell ref="B4:H4"/>
    <mergeCell ref="A1:I1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60" customWidth="1" min="4" max="4"/>
  </cols>
  <sheetData>
    <row r="1" ht="26" customHeight="1">
      <c r="A1" s="17" t="inlineStr">
        <is>
          <t>ANOMALIEN &amp; AUSREISSER – Erklärungen und Bewertung</t>
        </is>
      </c>
    </row>
    <row r="3" ht="20" customHeight="1">
      <c r="A3" s="9" t="inlineStr">
        <is>
          <t>Jahr</t>
        </is>
      </c>
      <c r="B3" s="9" t="inlineStr">
        <is>
          <t>Kennzahl</t>
        </is>
      </c>
      <c r="C3" s="9" t="inlineStr">
        <is>
          <t>Wert (EUR)</t>
        </is>
      </c>
      <c r="D3" s="9" t="inlineStr">
        <is>
          <t>Erklärung / Ursache</t>
        </is>
      </c>
    </row>
    <row r="4" ht="40" customHeight="1">
      <c r="A4" s="33" t="inlineStr">
        <is>
          <t>FY2021</t>
        </is>
      </c>
      <c r="B4" s="33" t="inlineStr">
        <is>
          <t>CapEx +71% YoY</t>
        </is>
      </c>
      <c r="C4" s="33" t="inlineStr">
        <is>
          <t>2.321 M€</t>
        </is>
      </c>
      <c r="D4" s="34" t="inlineStr">
        <is>
          <t>COVID-19-Boom: PPE/Impfstoff-Produktionskapazitäten massiv ausgebaut. PPD-Akquisition (19,4 Mrd. USD) → Integrationsaufwendungen erhöhten Sachinvestitionen. Einmalig, strukturell bedingt.</t>
        </is>
      </c>
    </row>
    <row r="5" ht="40" customHeight="1">
      <c r="A5" s="33" t="inlineStr">
        <is>
          <t>FY2021</t>
        </is>
      </c>
      <c r="B5" s="33" t="inlineStr">
        <is>
          <t>Umsatz +54% YoY</t>
        </is>
      </c>
      <c r="C5" s="33" t="inlineStr">
        <is>
          <t>36.074 M€</t>
        </is>
      </c>
      <c r="D5" s="34" t="inlineStr">
        <is>
          <t>COVID-Testing-Superzyklus (PCR-Tests, Impfstoffproduktion). Organisches Wachstum +35%. Nicht nachhaltig – normalizziert sich FY2023.</t>
        </is>
      </c>
    </row>
    <row r="6" ht="40" customHeight="1">
      <c r="A6" s="35" t="inlineStr">
        <is>
          <t>FY2022</t>
        </is>
      </c>
      <c r="B6" s="35" t="inlineStr">
        <is>
          <t>Revenue-Peak</t>
        </is>
      </c>
      <c r="C6" s="35" t="inlineStr">
        <is>
          <t>41.322 M€</t>
        </is>
      </c>
      <c r="D6" s="36" t="inlineStr">
        <is>
          <t>Letztes COVID-Boost-Jahr. CapEx noch erhöht (Nachholeffekte). Ab FY2023 COVID-Rückgang ~3 Mrd. USD Umsatzverlust – erklärt FY2023-Rückgang.</t>
        </is>
      </c>
    </row>
    <row r="7" ht="40" customHeight="1">
      <c r="A7" s="37" t="inlineStr">
        <is>
          <t>FY2023</t>
        </is>
      </c>
      <c r="B7" s="37" t="inlineStr">
        <is>
          <t>Umsatz -5% YoY</t>
        </is>
      </c>
      <c r="C7" s="37" t="inlineStr">
        <is>
          <t>39.428 M€</t>
        </is>
      </c>
      <c r="D7" s="38" t="inlineStr">
        <is>
          <t>Post-COVID-Normalisierung: Wegfall des COVID-Testgeschäfts (~2-3 Mrd. USD). Biotech-Funding-Winter dämpft Laborbestellungen. EBIT fällt 23% YoY → schwerster Gegenwind seit 2009.</t>
        </is>
      </c>
    </row>
    <row r="8" ht="40" customHeight="1">
      <c r="A8" s="33" t="inlineStr">
        <is>
          <t>FY2023</t>
        </is>
      </c>
      <c r="B8" s="33" t="inlineStr">
        <is>
          <t>CapEx -34% vs FY2021</t>
        </is>
      </c>
      <c r="C8" s="33" t="inlineStr">
        <is>
          <t>1.361 M€</t>
        </is>
      </c>
      <c r="D8" s="34" t="inlineStr">
        <is>
          <t>Nach COVID-Investitionspeak drastische Rückführung. CapEx/OpCF fällt von 27% (FY21) auf 17.6% (FY23). Positiv für FCF-Stabilität.</t>
        </is>
      </c>
    </row>
    <row r="9" ht="40" customHeight="1">
      <c r="A9" s="37" t="inlineStr">
        <is>
          <t>FY2025</t>
        </is>
      </c>
      <c r="B9" s="37" t="inlineStr">
        <is>
          <t>FCF -13% YoY</t>
        </is>
      </c>
      <c r="C9" s="37" t="inlineStr">
        <is>
          <t>5.830 M€</t>
        </is>
      </c>
      <c r="D9" s="38" t="inlineStr">
        <is>
          <t>OpCF-Rückgang auf 7.193 M€ trotz Umsatzwachstum. Grund: Höhere Steuerzahlungen, negative Working-Capital-Veränderungen, $1.3 Mrd. M&amp;A (Solum-Akquisition). Temporär.</t>
        </is>
      </c>
    </row>
    <row r="10" ht="40" customHeight="1">
      <c r="A10" s="33" t="inlineStr">
        <is>
          <t>FY2020</t>
        </is>
      </c>
      <c r="B10" s="33" t="inlineStr">
        <is>
          <t>FCF-Marge 26.7%</t>
        </is>
      </c>
      <c r="C10" s="33" t="inlineStr">
        <is>
          <t>6.270 M€</t>
        </is>
      </c>
      <c r="D10" s="34" t="inlineStr">
        <is>
          <t>Historisches Allzeit-Hoch. COVID-Sondereffekt: extrem hohe Testnachfrage bei noch niedriger Kostenbasis. Nicht reproduzierbar.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7" t="inlineStr">
        <is>
          <t>VISUALISIERUNGEN – FCF vs. CapEx Trends &amp; Margen</t>
        </is>
      </c>
    </row>
    <row r="3">
      <c r="A3" t="inlineStr">
        <is>
          <t>Jahr</t>
        </is>
      </c>
      <c r="B3" t="inlineStr">
        <is>
          <t>FCF (M€)</t>
        </is>
      </c>
      <c r="C3" t="inlineStr">
        <is>
          <t>CapEx (M€)</t>
        </is>
      </c>
      <c r="D3" t="inlineStr">
        <is>
          <t>OpCF (M€)</t>
        </is>
      </c>
      <c r="E3" t="inlineStr">
        <is>
          <t>FCF-Marge %</t>
        </is>
      </c>
      <c r="F3" t="inlineStr">
        <is>
          <t>CapEx/OpCF %</t>
        </is>
      </c>
    </row>
    <row r="4">
      <c r="A4" t="inlineStr">
        <is>
          <t>FY2020</t>
        </is>
      </c>
      <c r="B4" t="n">
        <v>6270</v>
      </c>
      <c r="C4" t="n">
        <v>1356</v>
      </c>
      <c r="D4" t="n">
        <v>7626</v>
      </c>
      <c r="E4" t="n">
        <v>26.68</v>
      </c>
      <c r="F4" t="n">
        <v>17.78</v>
      </c>
    </row>
    <row r="5">
      <c r="A5" t="inlineStr">
        <is>
          <t>FY2021</t>
        </is>
      </c>
      <c r="B5" t="n">
        <v>6246</v>
      </c>
      <c r="C5" t="n">
        <v>2321</v>
      </c>
      <c r="D5" t="n">
        <v>8567</v>
      </c>
      <c r="E5" t="n">
        <v>17.31</v>
      </c>
      <c r="F5" t="n">
        <v>27.09</v>
      </c>
    </row>
    <row r="6">
      <c r="A6" t="inlineStr">
        <is>
          <t>FY2022</t>
        </is>
      </c>
      <c r="B6" t="n">
        <v>6358</v>
      </c>
      <c r="C6" t="n">
        <v>2064</v>
      </c>
      <c r="D6" t="n">
        <v>8422</v>
      </c>
      <c r="E6" t="n">
        <v>15.39</v>
      </c>
      <c r="F6" t="n">
        <v>24.51</v>
      </c>
    </row>
    <row r="7">
      <c r="A7" t="inlineStr">
        <is>
          <t>FY2023</t>
        </is>
      </c>
      <c r="B7" t="n">
        <v>6373</v>
      </c>
      <c r="C7" t="n">
        <v>1361</v>
      </c>
      <c r="D7" t="n">
        <v>7734</v>
      </c>
      <c r="E7" t="n">
        <v>16.16</v>
      </c>
      <c r="F7" t="n">
        <v>17.6</v>
      </c>
    </row>
    <row r="8">
      <c r="A8" t="inlineStr">
        <is>
          <t>FY2024</t>
        </is>
      </c>
      <c r="B8" t="n">
        <v>6686</v>
      </c>
      <c r="C8" t="n">
        <v>1288</v>
      </c>
      <c r="D8" t="n">
        <v>7974</v>
      </c>
      <c r="E8" t="n">
        <v>16.95</v>
      </c>
      <c r="F8" t="n">
        <v>16.15</v>
      </c>
    </row>
    <row r="9">
      <c r="A9" t="inlineStr">
        <is>
          <t>FY2025</t>
        </is>
      </c>
      <c r="B9" t="n">
        <v>5830</v>
      </c>
      <c r="C9" t="n">
        <v>1363</v>
      </c>
      <c r="D9" t="n">
        <v>7193</v>
      </c>
      <c r="E9" t="n">
        <v>14.22</v>
      </c>
      <c r="F9" t="n">
        <v>18.95</v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18" customWidth="1" min="3" max="3"/>
  </cols>
  <sheetData>
    <row r="1" ht="30" customHeight="1">
      <c r="A1" s="1" t="inlineStr">
        <is>
          <t>EXECUTIVE SUMMARY – THERMO FISHER SCIENTIFIC (TMO) | DEFCON v3.1 | 24.03.2026</t>
        </is>
      </c>
    </row>
    <row r="2">
      <c r="A2" s="2" t="inlineStr">
        <is>
          <t>Kurs: ~470 USD | Fwd PE ~22x | FCF-Yield ~3.7% | US-Exposure: 43% des Konzernumsatzes</t>
        </is>
      </c>
    </row>
    <row r="4" ht="22" customHeight="1">
      <c r="A4" s="13" t="inlineStr">
        <is>
          <t>🏛️ GESCHÄFTSMODELL (MOAT)</t>
        </is>
      </c>
      <c r="B4" s="8" t="n"/>
      <c r="C4" s="8" t="n"/>
    </row>
    <row r="5" ht="50" customHeight="1">
      <c r="A5" s="39" t="inlineStr">
        <is>
          <t>Wide Moat. Globaler Marktführer in Laborausrüstung, Life-Science-Reagenzien, CDMO und klinischer Forschung. PPI-System (Lean Six Sigma), Kundenbindung &gt; 90%, Wechselkosten durch ERP-Integration (Unity Lab). 4 Segmente: Life Sciences, Analytical Instruments, Specialty Diagnostics, Lab Products &amp; Biopharma Services.</t>
        </is>
      </c>
      <c r="B5" s="8" t="n"/>
      <c r="C5" s="33" t="inlineStr">
        <is>
          <t>✅ DEFCON 4</t>
        </is>
      </c>
    </row>
    <row r="6">
      <c r="A6" s="8" t="n"/>
      <c r="B6" s="8" t="n"/>
      <c r="C6" s="8" t="n"/>
    </row>
    <row r="7" ht="22" customHeight="1">
      <c r="A7" s="3" t="inlineStr">
        <is>
          <t>📊 FUNDAMENTALS (5J-ZUSAMMENFASSUNG)</t>
        </is>
      </c>
      <c r="B7" s="8" t="n"/>
      <c r="C7" s="8" t="n"/>
    </row>
    <row r="8" ht="50" customHeight="1">
      <c r="A8" s="39" t="inlineStr">
        <is>
          <t>FCF stabil ~5.8–7.3 Mrd. EUR (2020–2024). FCF-CAGR nur +1.6% trotz Umsatz-CAGR +13.8% → Margendruck durch COVID-Normalisierung + PPD-Integration. CapEx-Disziplin ab FY2023 (1.3 Mrd. vs. 2.5 Mrd. FY2021). ROIC ~11–13%. Fwd FCF-Yield ~3.7% – moderat attraktiv bei aktuellem Kurs ~470 USD.</t>
        </is>
      </c>
      <c r="B8" s="8" t="n"/>
      <c r="C8" s="33" t="inlineStr">
        <is>
          <t>⚠️ DEFCON 3</t>
        </is>
      </c>
    </row>
    <row r="9">
      <c r="A9" s="8" t="n"/>
      <c r="B9" s="8" t="n"/>
      <c r="C9" s="8" t="n"/>
    </row>
    <row r="10" ht="22" customHeight="1">
      <c r="A10" s="40" t="inlineStr">
        <is>
          <t>⚠️ ANOMALIEN / RISIKEN</t>
        </is>
      </c>
      <c r="B10" s="8" t="n"/>
      <c r="C10" s="8" t="n"/>
    </row>
    <row r="11" ht="50" customHeight="1">
      <c r="A11" s="39" t="inlineStr">
        <is>
          <t>FY2021: COVID-CapEx-Peak +71% – einmalig. FY2023: Post-COVID Revenue-Cliff -5% – normalizziert. FY2025: FCF-Rückgang -13% durch M&amp;A-Working-Capital-Effekte + Steuerbelastung. Strukturelle Risiken: Biotech-Funding-Zyklen, China-Slowdown (10% Umsatz), FDA-Regulierung, Währungseffekte (43% USD-abhängig).</t>
        </is>
      </c>
      <c r="B11" s="8" t="n"/>
      <c r="C11" s="33" t="inlineStr">
        <is>
          <t>⚠️ DEFCON 3</t>
        </is>
      </c>
    </row>
    <row r="12">
      <c r="A12" s="8" t="n"/>
      <c r="B12" s="8" t="n"/>
      <c r="C12" s="8" t="n"/>
    </row>
    <row r="13" ht="22" customHeight="1">
      <c r="A13" s="13" t="inlineStr">
        <is>
          <t>🐂 BULL-CASE</t>
        </is>
      </c>
      <c r="B13" s="8" t="n"/>
      <c r="C13" s="8" t="n"/>
    </row>
    <row r="14" ht="50" customHeight="1">
      <c r="A14" s="39" t="inlineStr">
        <is>
          <t>GLP-1-Boom (Ozempic-Infrastruktur): Pharma-CDMO wächst +12-15% p.a. Biopharma-Erholung ab H2 2026. AI-Labor-Automation (Lab-AI-Plattform). M&amp;A-Pipeline (Meiragtx, Solum). CEO-Rückkaufprogramm ($4 Mrd./Jahr). Konsens-PT: $650–720 (FCF-Yield 4.5% bei Normalisierung).</t>
        </is>
      </c>
      <c r="B14" s="8" t="n"/>
      <c r="C14" s="33" t="inlineStr">
        <is>
          <t>✅ Aufwärtspotenzial +30%</t>
        </is>
      </c>
    </row>
    <row r="15">
      <c r="A15" s="8" t="n"/>
      <c r="B15" s="8" t="n"/>
      <c r="C15" s="8" t="n"/>
    </row>
    <row r="16" ht="22" customHeight="1">
      <c r="A16" s="41" t="inlineStr">
        <is>
          <t>🐻 BEAR-CASE</t>
        </is>
      </c>
      <c r="B16" s="8" t="n"/>
      <c r="C16" s="8" t="n"/>
    </row>
    <row r="17" ht="50" customHeight="1">
      <c r="A17" s="39" t="inlineStr">
        <is>
          <t>China-Umsatz -20% (Zölle, Regulierung). Biotech-Funding-Winter verlängert sich. FCF-Kompression durch Integration Solum/iMedical. Zinslast ($1.57 Mrd./Jahr). FY2026 Guide liegt unter Consensus. PE-Kontraktion auf 18x → Kursziel $380.</t>
        </is>
      </c>
      <c r="B17" s="8" t="n"/>
      <c r="C17" s="33" t="inlineStr">
        <is>
          <t>🔴 Downside -19%</t>
        </is>
      </c>
    </row>
    <row r="18">
      <c r="A18" s="8" t="n"/>
      <c r="B18" s="8" t="n"/>
      <c r="C18" s="8" t="n"/>
    </row>
    <row r="19" ht="22" customHeight="1">
      <c r="A19" s="42" t="inlineStr">
        <is>
          <t>🎯 DEPOT-EIGNUNG (DEFCON v3.1)</t>
        </is>
      </c>
      <c r="B19" s="8" t="n"/>
      <c r="C19" s="8" t="n"/>
    </row>
    <row r="20" ht="50" customHeight="1">
      <c r="A20" s="39" t="inlineStr">
        <is>
          <t>SCORE-SCHÄTZUNG: Fundamentals 35/50 (solide, aber FCF-CAGR &lt; Revenue-CAGR), Moat 18/20 (Wide Moat bestätigt), Technicals 6/10 (50 MA gebrochen, kein Trend), Insider 6/10 (Rückkäufe stark, Insider neutral), Sentiment 7/10 (Konsens Buy, PT Upside ~35%).</t>
        </is>
      </c>
      <c r="B20" s="8" t="n"/>
      <c r="C20" s="33" t="inlineStr">
        <is>
          <t>🟡 DEFCON 3 – WATCHLIST</t>
        </is>
      </c>
    </row>
    <row r="21" ht="35" customHeight="1">
      <c r="A21" s="39" t="inlineStr"/>
      <c r="B21" s="8" t="n"/>
      <c r="C21" s="33" t="inlineStr">
        <is>
          <t>🟡 DEFCON 3 – WATCHLIST</t>
        </is>
      </c>
    </row>
    <row r="22" ht="35" customHeight="1">
      <c r="A22" s="39" t="inlineStr">
        <is>
          <t>GESAMT: ~72/100 → DEFCON 3 🟡</t>
        </is>
      </c>
      <c r="B22" s="8" t="n"/>
      <c r="C22" s="33" t="inlineStr">
        <is>
          <t>🟡 DEFCON 3 – WATCHLIST</t>
        </is>
      </c>
    </row>
    <row r="23" ht="35" customHeight="1">
      <c r="A23" s="39" t="inlineStr"/>
      <c r="B23" s="8" t="n"/>
      <c r="C23" s="33" t="inlineStr">
        <is>
          <t>🟡 DEFCON 3 – WATCHLIST</t>
        </is>
      </c>
    </row>
    <row r="24" ht="35" customHeight="1">
      <c r="A24" s="39" t="inlineStr">
        <is>
          <t>FÜR UNSER DEPOT: NOCH NICHT EINSTIEGSREIF (&lt; 80 Punkte). Zielkurs für Einstieg: $430–450 (FCF-Yield &gt; 4%, PE ≤ 20x). Bei Bestätigung FY2026-Guide H1 2026 + Biotech-Erholung: Re-Rating auf 80+ möglich.</t>
        </is>
      </c>
      <c r="B24" s="8" t="n"/>
      <c r="C24" s="33" t="inlineStr">
        <is>
          <t>🟡 DEFCON 3 – WATCHLIST</t>
        </is>
      </c>
    </row>
    <row r="25" ht="35" customHeight="1">
      <c r="A25" s="39" t="inlineStr"/>
      <c r="B25" s="8" t="n"/>
      <c r="C25" s="33" t="inlineStr">
        <is>
          <t>🟡 DEFCON 3 – WATCHLIST</t>
        </is>
      </c>
    </row>
    <row r="26" ht="35" customHeight="1">
      <c r="A26" s="39" t="inlineStr">
        <is>
          <t>📌 EMPFEHLUNG: Watchlist – Wiedervorlage Q3 2026.</t>
        </is>
      </c>
      <c r="B26" s="8" t="n"/>
      <c r="C26" s="33" t="inlineStr">
        <is>
          <t>🟡 DEFCON 3 – WATCHLIST</t>
        </is>
      </c>
    </row>
    <row r="27">
      <c r="A27" s="8" t="n"/>
      <c r="B27" s="8" t="n"/>
      <c r="C27" s="8" t="n"/>
    </row>
    <row r="29">
      <c r="A29" s="19" t="inlineStr">
        <is>
          <t>DEFCON v3.1 SCORE – TMO | 24.03.2026</t>
        </is>
      </c>
    </row>
    <row r="30" ht="20" customHeight="1">
      <c r="A30" s="43" t="inlineStr">
        <is>
          <t>Fundamentals (50%)</t>
        </is>
      </c>
      <c r="B30" s="44" t="inlineStr">
        <is>
          <t>FCF-Marge solide, CAGR schwach, PE moderat</t>
        </is>
      </c>
      <c r="C30" s="45" t="inlineStr">
        <is>
          <t>35 / 50</t>
        </is>
      </c>
    </row>
    <row r="31" ht="20" customHeight="1">
      <c r="A31" s="46" t="inlineStr">
        <is>
          <t>Moat (20%)</t>
        </is>
      </c>
      <c r="B31" s="47" t="inlineStr">
        <is>
          <t>Wide Moat bestätigt – PPI, Wechselkosten</t>
        </is>
      </c>
      <c r="C31" s="48" t="inlineStr">
        <is>
          <t>18 / 20</t>
        </is>
      </c>
    </row>
    <row r="32" ht="20" customHeight="1">
      <c r="A32" s="49" t="inlineStr">
        <is>
          <t>Technicals (10%)</t>
        </is>
      </c>
      <c r="B32" s="50" t="inlineStr">
        <is>
          <t>Unter 50-MA, kein Breakout-Signal</t>
        </is>
      </c>
      <c r="C32" s="51" t="inlineStr">
        <is>
          <t xml:space="preserve"> 6 / 10</t>
        </is>
      </c>
    </row>
    <row r="33" ht="20" customHeight="1">
      <c r="A33" s="43" t="inlineStr">
        <is>
          <t>Insider (10%)</t>
        </is>
      </c>
      <c r="B33" s="44" t="inlineStr">
        <is>
          <t>Rückkäufe $4 Mrd., Insider-Käufe neutral</t>
        </is>
      </c>
      <c r="C33" s="45" t="inlineStr">
        <is>
          <t xml:space="preserve"> 6 / 10</t>
        </is>
      </c>
    </row>
    <row r="34" ht="20" customHeight="1">
      <c r="A34" s="46" t="inlineStr">
        <is>
          <t>Sentiment (10%)</t>
        </is>
      </c>
      <c r="B34" s="47" t="inlineStr">
        <is>
          <t>Buy-Consensus, Upside 35% lt. PT</t>
        </is>
      </c>
      <c r="C34" s="48" t="inlineStr">
        <is>
          <t xml:space="preserve"> 7 / 10</t>
        </is>
      </c>
    </row>
    <row r="35" ht="20" customHeight="1">
      <c r="A35" s="43" t="inlineStr">
        <is>
          <t>GESAMT</t>
        </is>
      </c>
      <c r="B35" s="44" t="inlineStr">
        <is>
          <t>DEFCON 3 🟡 | Einstieg erst ab 80 Punkten</t>
        </is>
      </c>
      <c r="C35" s="45" t="inlineStr">
        <is>
          <t>72 / 100</t>
        </is>
      </c>
    </row>
  </sheetData>
  <mergeCells count="21">
    <mergeCell ref="A24:B24"/>
    <mergeCell ref="A11:B11"/>
    <mergeCell ref="A2:C2"/>
    <mergeCell ref="A25:B25"/>
    <mergeCell ref="A29:C29"/>
    <mergeCell ref="A4:C4"/>
    <mergeCell ref="A10:C10"/>
    <mergeCell ref="A26:B26"/>
    <mergeCell ref="A21:B21"/>
    <mergeCell ref="A13:C13"/>
    <mergeCell ref="A19:C19"/>
    <mergeCell ref="A5:B5"/>
    <mergeCell ref="A14:B14"/>
    <mergeCell ref="A23:B23"/>
    <mergeCell ref="A17:B17"/>
    <mergeCell ref="A8:B8"/>
    <mergeCell ref="A22:B22"/>
    <mergeCell ref="A20:B20"/>
    <mergeCell ref="A1:C1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2026-03-24T21:54:41Z</dcterms:created>
  <dcterms:modified xmlns:dcterms="http://purl.org/dc/terms/" xmlns:xsi="http://www.w3.org/2001/XMLSchema-instance" xsi:type="dcterms:W3CDTF">2026-03-24T21:56:48Z</dcterms:modified>
</cp:coreProperties>
</file>